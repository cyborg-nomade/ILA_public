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workbookPr filterPrivacy="1" codeName="ThisWorkbook"/>
  <bookViews>
    <workbookView xWindow="-120" yWindow="-120" windowWidth="28920" windowHeight="16215"/>
  </bookViews>
  <sheets>
    <sheet name="CronogramaDeProjeto" sheetId="11" r:id="rId1"/>
    <sheet name="Sobre" sheetId="12" r:id="rId2"/>
  </sheets>
  <definedNames>
    <definedName name="hoje" localSheetId="0">TODAY()</definedName>
    <definedName name="início_da_tarefa" localSheetId="0">CronogramaDeProjeto!$E1</definedName>
    <definedName name="Início_do_projeto">CronogramaDeProjeto!$E$3</definedName>
    <definedName name="progresso_da_tarefa" localSheetId="0">CronogramaDeProjeto!$D1</definedName>
    <definedName name="Semana_de_exibição">CronogramaDeProjeto!$E$4</definedName>
    <definedName name="término_da_tarefa" localSheetId="0">CronogramaDeProjeto!$F1</definedName>
    <definedName name="_xlnm.Print_Titles" localSheetId="0">CronogramaDeProjeto!$4:$6</definedName>
  </definedNames>
  <calcPr calcId="15251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27" i="11" l="1"/>
  <c r="E27" i="11"/>
  <c r="F26" i="11"/>
  <c r="E26" i="11"/>
  <c r="F25" i="11"/>
  <c r="E25" i="11"/>
  <c r="F24" i="11"/>
  <c r="E24" i="11"/>
  <c r="F22" i="11"/>
  <c r="E22" i="11"/>
  <c r="F20" i="11"/>
  <c r="E3" i="11"/>
  <c r="H36" i="11" l="1"/>
  <c r="H34" i="11"/>
  <c r="H32" i="11"/>
  <c r="H30" i="11"/>
  <c r="H7" i="11"/>
  <c r="H35" i="11"/>
  <c r="H33" i="11"/>
  <c r="H31" i="11"/>
  <c r="H29" i="11"/>
  <c r="H23" i="11"/>
  <c r="H15" i="11"/>
  <c r="H8" i="11"/>
  <c r="I5" i="11"/>
  <c r="E9" i="11"/>
  <c r="H25" i="11" l="1"/>
  <c r="F9" i="11"/>
  <c r="I6" i="11"/>
  <c r="H26" i="11" l="1"/>
  <c r="H24" i="11"/>
  <c r="E10" i="11"/>
  <c r="F10" i="11" s="1"/>
  <c r="H9" i="11"/>
  <c r="E28" i="11"/>
  <c r="F28" i="11" s="1"/>
  <c r="H28" i="11" s="1"/>
  <c r="J5" i="11"/>
  <c r="K5" i="11" s="1"/>
  <c r="L5" i="11" s="1"/>
  <c r="M5" i="11" s="1"/>
  <c r="N5" i="11" s="1"/>
  <c r="O5" i="11" s="1"/>
  <c r="P5" i="11" s="1"/>
  <c r="I4" i="11"/>
  <c r="H27" i="11" l="1"/>
  <c r="E11" i="11"/>
  <c r="F11" i="11" s="1"/>
  <c r="H10" i="11"/>
  <c r="P4" i="11"/>
  <c r="Q5" i="11"/>
  <c r="R5" i="11" s="1"/>
  <c r="S5" i="11" s="1"/>
  <c r="T5" i="11" s="1"/>
  <c r="U5" i="11" s="1"/>
  <c r="V5" i="11" s="1"/>
  <c r="W5" i="11" s="1"/>
  <c r="J6" i="11"/>
  <c r="E12" i="11" l="1"/>
  <c r="H11" i="11"/>
  <c r="W4" i="11"/>
  <c r="X5" i="11"/>
  <c r="Y5" i="11" s="1"/>
  <c r="Z5" i="11" s="1"/>
  <c r="AA5" i="11" s="1"/>
  <c r="AB5" i="11" s="1"/>
  <c r="AC5" i="11" s="1"/>
  <c r="AD5" i="11" s="1"/>
  <c r="K6" i="11"/>
  <c r="F12" i="11" l="1"/>
  <c r="E13" i="11" s="1"/>
  <c r="AE5" i="11"/>
  <c r="AF5" i="11" s="1"/>
  <c r="AG5" i="11" s="1"/>
  <c r="AH5" i="11" s="1"/>
  <c r="AI5" i="11" s="1"/>
  <c r="AJ5" i="11" s="1"/>
  <c r="AD4" i="11"/>
  <c r="L6" i="11"/>
  <c r="H12" i="11" l="1"/>
  <c r="F13" i="11"/>
  <c r="AK5" i="11"/>
  <c r="AL5" i="11" s="1"/>
  <c r="AM5" i="11" s="1"/>
  <c r="AN5" i="11" s="1"/>
  <c r="AO5" i="11" s="1"/>
  <c r="AP5" i="11" s="1"/>
  <c r="AQ5" i="11" s="1"/>
  <c r="M6" i="11"/>
  <c r="H13" i="11" l="1"/>
  <c r="E14" i="11"/>
  <c r="F14" i="11" s="1"/>
  <c r="E16" i="11" s="1"/>
  <c r="F16" i="11" s="1"/>
  <c r="E17" i="11" s="1"/>
  <c r="F17" i="11" s="1"/>
  <c r="AR5" i="11"/>
  <c r="AS5" i="11" s="1"/>
  <c r="AK4" i="11"/>
  <c r="N6" i="11"/>
  <c r="H16" i="11" l="1"/>
  <c r="H17" i="11"/>
  <c r="E18" i="11"/>
  <c r="F18" i="11" s="1"/>
  <c r="E19" i="11" s="1"/>
  <c r="AT5" i="11"/>
  <c r="AS6" i="11"/>
  <c r="AR4" i="11"/>
  <c r="O6" i="11"/>
  <c r="H18" i="11" l="1"/>
  <c r="AU5" i="11"/>
  <c r="AT6" i="11"/>
  <c r="F19" i="11" l="1"/>
  <c r="AV5" i="11"/>
  <c r="AU6" i="11"/>
  <c r="P6" i="11"/>
  <c r="Q6" i="11"/>
  <c r="H19" i="11" l="1"/>
  <c r="E20" i="11"/>
  <c r="AW5" i="11"/>
  <c r="AV6" i="11"/>
  <c r="R6" i="11"/>
  <c r="H20" i="11" l="1"/>
  <c r="E21" i="11"/>
  <c r="F21" i="11" s="1"/>
  <c r="AX5" i="11"/>
  <c r="AY5" i="11" s="1"/>
  <c r="AW6" i="11"/>
  <c r="S6" i="11"/>
  <c r="AY6" i="11" l="1"/>
  <c r="AZ5" i="11"/>
  <c r="AY4" i="11"/>
  <c r="AX6" i="11"/>
  <c r="T6" i="11"/>
  <c r="BA5" i="11" l="1"/>
  <c r="AZ6" i="11"/>
  <c r="U6" i="11"/>
  <c r="BA6" i="11" l="1"/>
  <c r="BB5" i="11"/>
  <c r="V6" i="11"/>
  <c r="BB6" i="11" l="1"/>
  <c r="BC5" i="11"/>
  <c r="W6" i="11"/>
  <c r="BC6" i="11" l="1"/>
  <c r="BD5" i="11"/>
  <c r="X6" i="11"/>
  <c r="BE5" i="11" l="1"/>
  <c r="BD6" i="11"/>
  <c r="Y6" i="11"/>
  <c r="BE6" i="11" l="1"/>
  <c r="BF5" i="11"/>
  <c r="Z6" i="11"/>
  <c r="BF6" i="11" l="1"/>
  <c r="BG5" i="11"/>
  <c r="BF4" i="11"/>
  <c r="AA6" i="11"/>
  <c r="BG6" i="11" l="1"/>
  <c r="BH5" i="11"/>
  <c r="AB6" i="11"/>
  <c r="BI5" i="11" l="1"/>
  <c r="BH6" i="11"/>
  <c r="AC6" i="11"/>
  <c r="BJ5" i="11" l="1"/>
  <c r="BI6" i="11"/>
  <c r="AD6" i="11"/>
  <c r="BK5" i="11" l="1"/>
  <c r="BJ6" i="11"/>
  <c r="AE6" i="11"/>
  <c r="BL5" i="11" l="1"/>
  <c r="BK6" i="11"/>
  <c r="AF6" i="11"/>
  <c r="BL6" i="11" l="1"/>
  <c r="AG6" i="11"/>
  <c r="AH6" i="11" l="1"/>
  <c r="AI6" i="11" l="1"/>
  <c r="AJ6" i="11" l="1"/>
  <c r="AK6" i="11" l="1"/>
  <c r="AL6" i="11" l="1"/>
  <c r="AM6" i="11" l="1"/>
  <c r="AN6" i="11" l="1"/>
  <c r="AO6" i="11" l="1"/>
  <c r="AP6" i="11" l="1"/>
  <c r="AQ6" i="11" l="1"/>
  <c r="AR6" i="11" l="1"/>
</calcChain>
</file>

<file path=xl/sharedStrings.xml><?xml version="1.0" encoding="utf-8"?>
<sst xmlns="http://schemas.openxmlformats.org/spreadsheetml/2006/main" count="98" uniqueCount="71">
  <si>
    <t>Crie um cronograma de projeto nesta planilha.
Digite o título desse projeto na célula B1. 
As informações sobre como usar esta planilha, incluindo instruções para leitores de tela e o autor desta pasta de trabalho, estão na planilha Sobre.
Continue navegando pela coluna A para saber mais.</t>
  </si>
  <si>
    <t>Insira o Nome da empresa na célula B2.</t>
  </si>
  <si>
    <t>Insira o nome do Líder do projeto na célula B3. Insira a data de Início do projeto na célula E3. Início do projeto: o rótulo está na célula C3.</t>
  </si>
  <si>
    <t>A Semana de exibição na célula E4 representa a semana inicial a ser exibida no cronograma do projeto na célula I4. A data de início do projeto é considerada Semana 1. Para alterar a semana de exibição, basta inserir um novo número da semana na célula E4.
A data inicial para cada semana, começando com a semana de exibição na célula E4, começa na célula I4 e é calculada automaticamente. Há 8 semanas representadas nesse modo de exibição que vão da célula I4 a célula BF4.
Você não deve modificar essas células.
Semana de exibição: o rótulo está na célula C4.</t>
  </si>
  <si>
    <t>As células I5 a BL5 contêm o número de dias da semana representado no bloco de células acima de cada célula de data e são calculadas automaticamente.
Você não deve modificar essas células.
A data de hoje é contornada em vermelho (hex #AD3815) a partir da data de hoje na linha 5, passando pela coluna de data inteira até o final do cronograma do projeto.</t>
  </si>
  <si>
    <t>Esta linha inclui cabeçalhos do cronograma do projeto que estão abaixo deles. 
Navegue de B6 a BL6 para ouvir o conteúdo. A primeira letra de cada dia da semana da data acima daquele cabeçalho começa na célula I6 e continua até a célula BL6.
Todo o gráfico de linha do tempo de projeto é gerado automaticamente com base nas datas de início e término inseridas, usando os formatos condicionais.
Não modifique o conteúdo nas células dentro das colunas após a coluna I, começando na célula I7.</t>
  </si>
  <si>
    <t xml:space="preserve">Não exclua esta linha. Esta linha ficará oculta para preservar uma fórmula usada para realçar o dia atual no cronograma do projeto. </t>
  </si>
  <si>
    <t>A célula B8 contém o título do exemplo da Fase 1. 
Insira um novo Título na célula B8.
Na célula C8, insira o nome a atribuir à fase, caso ela se aplique ao seu projeto.
Na célula D8, insira o Progresso para a fase inteira, caso ela se aplique ao seu projeto.
Nas células E8 e F8, insira as datas de início e término para a fase inteira, caso ela se aplique ao seu projeto. 
O gráfico de Gantt preenche automaticamente as datas apropriadas e sombreia de acordo com o andamento inserido.
Para excluir a fase e trabalhar apenas nas tarefas, basta excluir essa linha.</t>
  </si>
  <si>
    <t xml:space="preserve">A célula B9 contém a tarefa de exemplo "Tarefa 1". 
Insira um novo nome da tarefa na célula B9.
Insira uma pessoa para atribuir a tarefa na célula C9.
Insira o andamento da tarefa na célula D9. Uma barra de progresso é exibida na célula e fica sombreada de acordo com o número na célula. Por exemplo, 50% de progresso sombreia metade da célula.
Insira a data de início da tarefa na célula E9.
Insira a data de término da tarefa na célula F9.
Uma barra de status sombreada das datas inseridas aparece em blocos começando na célula I9 até BL9. </t>
  </si>
  <si>
    <t>As linhas 10 a 13 repetem o padrão da linha 9. 
Repita as instruções da célula A9 para todas as linhas de tarefas nesta planilha. Substitua os dados de exemplo.
Um exemplo de outra fase começa na célula A14. 
Continue inserindo tarefas nas células A10 a A13 ou vá para a célula A14 para saber mais.</t>
  </si>
  <si>
    <t>A célula à direita contém o título do exemplo da Fase 2. 
Você pode criar uma nova fase a qualquer momento na coluna B. Este cronograma de projeto não exige fases. Para remover a fase, basta excluir a linha.
Para criar um novo bloco de fases nesta linha, digite um novo Título na célula à direita.
Para continuar a adicionar tarefas à fase acima, insira uma nova linha acima desta e preencha os dados da tarefa como na instrução da célula A9.
Atualize os detalhes da Fase na célula à direita, com base nas instruções da célula A8.
Continue navegando para baixo nas células da coluna A para saber mais.
Se você ainda não adicionou as novas linhas nesta planilha, encontrará 2 exemplos adicionais de blocos de fase que foram criados nas células B20 e B26. Caso contrário, navegue pelas células da coluna A para localizar os blocos adicionais. 
Repita as instruções das células A8 e A9 sempre que precisar.</t>
  </si>
  <si>
    <t>Bloco de título de fase de exemplo</t>
  </si>
  <si>
    <t>Esta é uma linha vazia</t>
  </si>
  <si>
    <t>TAREFA</t>
  </si>
  <si>
    <t>Tarefa 1</t>
  </si>
  <si>
    <t>Tarefa 2</t>
  </si>
  <si>
    <t>Tarefa 3</t>
  </si>
  <si>
    <t>Tarefa 4</t>
  </si>
  <si>
    <t>Tarefa 5</t>
  </si>
  <si>
    <t>Título Fase 4</t>
  </si>
  <si>
    <t>Insira novas linhas ACIMA desta</t>
  </si>
  <si>
    <t>Início do projeto:</t>
  </si>
  <si>
    <t>Semana de exibição:</t>
  </si>
  <si>
    <t>ATRIBUÍDO
PARA</t>
  </si>
  <si>
    <t>PROGRESSO</t>
  </si>
  <si>
    <t>INÍCIO</t>
  </si>
  <si>
    <t>data</t>
  </si>
  <si>
    <t>TÉRMINO</t>
  </si>
  <si>
    <t>DIAS</t>
  </si>
  <si>
    <t>GRÁFICO DE GANTT SIMPLES por Vertex42.com</t>
  </si>
  <si>
    <t>https://www.vertex42.com/ExcelTemplates/simple-gantt-chart.html</t>
  </si>
  <si>
    <t>Sobre este modelo</t>
  </si>
  <si>
    <t>Este modelo proporciona uma maneira simples de criar um gráfico de Gantt para ajudar a visualizar e controlar seu projeto. Basta inserir suas tarefas e as datas de início e término, as fórmulas não são necessárias. As barras no gráfico de Gantt representam a duração da tarefa e são exibidas usando a formatação condicional. Para adicionar novas tarefas, insira novas linhas.</t>
  </si>
  <si>
    <t>Guia para leitores de tela</t>
  </si>
  <si>
    <t>Há 2 planilhas nesta pasta de trabalho. 
CronogramaDeProjeto
Sobre
As instruções para cada planilha estão na coluna A, começando na célula A1 de cada planilha. Elas foram escritas com texto oculto. Cada etapa orienta você pelas informações nessa linha. Cada etapa subsequente continua na célula A2, A3 e assim por diante, caso isso não seja orientado explicitamente. Por exemplo, o texto da instrução pode mostrar "continua na célula A6" para a próxima etapa. 
Esse texto oculto não será impresso.
Para remover essas instruções da planilha, basta excluir a coluna A.</t>
  </si>
  <si>
    <t>Ajuda adicional</t>
  </si>
  <si>
    <t>Clique no link abaixo para acessar o site vertex42.com e saiba mais sobre como usar esse modelo, como calcular os dias normais e dias úteis, criar as dependências entre tarefas, alterar as cores das barras, adicionar uma barra de rolagem para facilitar a alteração da semana de exibição, ampliar o intervalo de data exibido no gráfico, etc.</t>
  </si>
  <si>
    <t>Como usar um gráfico de Gantt simples</t>
  </si>
  <si>
    <t>Mais modelos de gerenciamento de projetos</t>
  </si>
  <si>
    <t>Acesse Vertex42.com para baixar outros modelos de gerenciamento de projetos, incluindo os diferentes tipos de cronogramas de projetos, gráficos de Gantt, listas de tarefas, etc.</t>
  </si>
  <si>
    <t>Modelos de gerenciamento de projetos</t>
  </si>
  <si>
    <t>Sobre o Vertex42</t>
  </si>
  <si>
    <t>O Vertex42.com oferece mais de 300 modelos profissionais de planilha para uso corporativo, doméstico e educacional, a maioria deles com download gratuito. O conjunto de modelos inclui vários calendários, planejadores e agendas, bem como planilhas de finanças pessoais para orçamento, redução de débito e amortização de empréstimo.</t>
  </si>
  <si>
    <t>As empresas encontrarão faturas, folhas de ponto, controladores de estoque, demonstrativos financeiros e modelos de planejamento de projetos. Professores e alunos encontrarão recursos como cronogramas de aula, planilhas de notas e planilhas de participação. Organize sua vida familiar com planejadores de refeições, listas de verificação e registros de exercícios. Cada modelo é completamente pesquisado, refinado e aprimorado ao longo do tempo com o feedback de milhares de usuários.</t>
  </si>
  <si>
    <t>Esta linha marca o final do Cronograma de projeto. NÃO insira nada nessa linha. 
Insira novas linhas ACIMA desta linha para continuar a construção do cronograma de projeto.</t>
  </si>
  <si>
    <t>Inventário LGPD Automatizado</t>
  </si>
  <si>
    <t>CPTM</t>
  </si>
  <si>
    <t>Marcelo B. Pellicer</t>
  </si>
  <si>
    <t>Aplicação Inicial (POC)</t>
  </si>
  <si>
    <t>Criar aplicativo frontend</t>
  </si>
  <si>
    <t>Uriel</t>
  </si>
  <si>
    <t>Criar REST API</t>
  </si>
  <si>
    <t>Configurar e integrar MongoDB</t>
  </si>
  <si>
    <t>Integrar frontend e backend</t>
  </si>
  <si>
    <t>Alterações para login seguro</t>
  </si>
  <si>
    <t>Preparações para implantação em produção</t>
  </si>
  <si>
    <t>Alterações solicitada em 04/03</t>
  </si>
  <si>
    <t>Criação de autenticação Single Sign-On</t>
  </si>
  <si>
    <t>Integração com ITSM na tela de login</t>
  </si>
  <si>
    <t>Controle de acessos sob demanda</t>
  </si>
  <si>
    <t>Alterações estéticas-funcionais no formulário</t>
  </si>
  <si>
    <t>Visão de comentários</t>
  </si>
  <si>
    <t>Continuar e alterar processo existente</t>
  </si>
  <si>
    <t>Dashboard</t>
  </si>
  <si>
    <t>Implantação do Aplicativo em Produção</t>
  </si>
  <si>
    <t>Implantação em ambiente de homologação</t>
  </si>
  <si>
    <t>Uriel/DFIO</t>
  </si>
  <si>
    <t>Validação da aplicação</t>
  </si>
  <si>
    <t>Comitê LGPD</t>
  </si>
  <si>
    <t>Eventuais correções pontuais</t>
  </si>
  <si>
    <t>Implantação em ambiente de produção</t>
  </si>
</sst>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42" formatCode="_-&quot;R$&quot;\ * #,##0_-;\-&quot;R$&quot;\ * #,##0_-;_-&quot;R$&quot;\ * &quot;-&quot;_-;_-@_-"/>
    <numFmt numFmtId="44" formatCode="_-&quot;R$&quot;\ * #,##0.00_-;\-&quot;R$&quot;\ * #,##0.00_-;_-&quot;R$&quot;\ * &quot;-&quot;??_-;_-@_-"/>
    <numFmt numFmtId="164" formatCode="_(* #,##0_);_(* \(#,##0\);_(* &quot;-&quot;_);_(@_)"/>
    <numFmt numFmtId="165" formatCode="_(* #,##0.00_);_(* \(#,##0.00\);_(* &quot;-&quot;??_);_(@_)"/>
    <numFmt numFmtId="166" formatCode="ddd\,\ d/m/yyyy"/>
    <numFmt numFmtId="167" formatCode="[$-416]d\-mmm\-yyyy;@"/>
    <numFmt numFmtId="168" formatCode="d"/>
    <numFmt numFmtId="169" formatCode="d/m/yy;@"/>
  </numFmts>
  <fonts count="36" x14ac:knownFonts="1">
    <font>
      <sz val="11"/>
      <color theme="1"/>
      <name val="Calibri"/>
      <family val="2"/>
      <scheme val="minor"/>
    </font>
    <font>
      <b/>
      <sz val="20"/>
      <color theme="4" tint="-0.249977111117893"/>
      <name val="Calibri"/>
      <family val="2"/>
      <scheme val="major"/>
    </font>
    <font>
      <sz val="10"/>
      <name val="Calibri"/>
      <family val="2"/>
      <scheme val="minor"/>
    </font>
    <font>
      <u/>
      <sz val="11"/>
      <color indexed="12"/>
      <name val="Arial"/>
      <family val="2"/>
    </font>
    <font>
      <sz val="11"/>
      <name val="Calibri"/>
      <family val="2"/>
      <scheme val="minor"/>
    </font>
    <font>
      <b/>
      <sz val="11"/>
      <color theme="1"/>
      <name val="Calibri"/>
      <family val="2"/>
      <scheme val="minor"/>
    </font>
    <font>
      <b/>
      <sz val="9"/>
      <color theme="0"/>
      <name val="Calibri"/>
      <family val="2"/>
      <scheme val="minor"/>
    </font>
    <font>
      <i/>
      <sz val="9"/>
      <color theme="1"/>
      <name val="Calibri"/>
      <family val="2"/>
      <scheme val="minor"/>
    </font>
    <font>
      <sz val="11"/>
      <color theme="1"/>
      <name val="Calibri"/>
      <family val="2"/>
      <scheme val="minor"/>
    </font>
    <font>
      <sz val="14"/>
      <color theme="1"/>
      <name val="Calibri"/>
      <family val="2"/>
      <scheme val="minor"/>
    </font>
    <font>
      <sz val="9"/>
      <name val="Calibri"/>
      <family val="2"/>
      <scheme val="minor"/>
    </font>
    <font>
      <sz val="8"/>
      <color theme="0"/>
      <name val="Calibri"/>
      <family val="2"/>
      <scheme val="minor"/>
    </font>
    <font>
      <b/>
      <sz val="22"/>
      <color theme="1" tint="0.34998626667073579"/>
      <name val="Calibri"/>
      <family val="2"/>
      <scheme val="major"/>
    </font>
    <font>
      <b/>
      <sz val="11"/>
      <color theme="1" tint="0.499984740745262"/>
      <name val="Calibri"/>
      <family val="2"/>
      <scheme val="minor"/>
    </font>
    <font>
      <sz val="10"/>
      <color theme="1" tint="0.499984740745262"/>
      <name val="Arial"/>
      <family val="2"/>
    </font>
    <font>
      <b/>
      <sz val="12"/>
      <color theme="1" tint="0.34998626667073579"/>
      <name val="Calibri"/>
      <family val="2"/>
      <scheme val="minor"/>
    </font>
    <font>
      <b/>
      <sz val="10"/>
      <name val="Calibri"/>
      <family val="2"/>
      <scheme val="minor"/>
    </font>
    <font>
      <sz val="11"/>
      <color theme="1" tint="0.499984740745262"/>
      <name val="Calibri"/>
      <family val="2"/>
      <scheme val="minor"/>
    </font>
    <font>
      <sz val="20"/>
      <name val="Calibri"/>
      <family val="2"/>
      <scheme val="major"/>
    </font>
    <font>
      <sz val="11"/>
      <color rgb="FF1D2129"/>
      <name val="Calibri"/>
      <family val="2"/>
      <scheme val="minor"/>
    </font>
    <font>
      <b/>
      <sz val="16"/>
      <color theme="4" tint="-0.249977111117893"/>
      <name val="Calibri"/>
      <family val="2"/>
      <scheme val="major"/>
    </font>
    <font>
      <sz val="11"/>
      <color theme="0"/>
      <name val="Calibri"/>
      <family val="2"/>
      <scheme val="minor"/>
    </font>
    <font>
      <u/>
      <sz val="11"/>
      <color theme="11"/>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i/>
      <sz val="11"/>
      <color theme="1"/>
      <name val="Calibri"/>
      <family val="2"/>
      <scheme val="minor"/>
    </font>
    <font>
      <sz val="12"/>
      <color theme="1"/>
      <name val="Calibri"/>
      <family val="2"/>
      <scheme val="minor"/>
    </font>
  </fonts>
  <fills count="45">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theme="6" tint="0.59999389629810485"/>
        <bgColor indexed="64"/>
      </patternFill>
    </fill>
    <fill>
      <patternFill patternType="solid">
        <fgColor theme="0" tint="-0.14999847407452621"/>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theme="1" tint="0.34998626667073579"/>
        <bgColor indexed="64"/>
      </patternFill>
    </fill>
    <fill>
      <patternFill patternType="solid">
        <fgColor theme="1" tint="0.34998626667073579"/>
        <bgColor theme="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7">
    <border>
      <left/>
      <right/>
      <top/>
      <bottom/>
      <diagonal/>
    </border>
    <border>
      <left/>
      <right/>
      <top style="thin">
        <color theme="0" tint="-0.34998626667073579"/>
      </top>
      <bottom/>
      <diagonal/>
    </border>
    <border>
      <left/>
      <right/>
      <top style="medium">
        <color theme="0" tint="-0.14996795556505021"/>
      </top>
      <bottom style="medium">
        <color theme="0" tint="-0.14996795556505021"/>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top style="thin">
        <color theme="0" tint="-0.34998626667073579"/>
      </top>
      <bottom/>
      <diagonal/>
    </border>
    <border>
      <left/>
      <right style="thin">
        <color theme="0" tint="-0.34998626667073579"/>
      </right>
      <top style="thin">
        <color theme="0" tint="-0.34998626667073579"/>
      </top>
      <bottom/>
      <diagonal/>
    </border>
    <border>
      <left style="thin">
        <color theme="0" tint="-0.34998626667073579"/>
      </left>
      <right/>
      <top/>
      <bottom/>
      <diagonal/>
    </border>
    <border>
      <left/>
      <right style="thin">
        <color theme="0" tint="-0.34998626667073579"/>
      </right>
      <top/>
      <bottom/>
      <diagonal/>
    </border>
    <border>
      <left style="thin">
        <color theme="0" tint="-0.34998626667073579"/>
      </left>
      <right style="thin">
        <color theme="0" tint="-0.34998626667073579"/>
      </right>
      <top/>
      <bottom style="medium">
        <color theme="0" tint="-0.14996795556505021"/>
      </bottom>
      <diagonal/>
    </border>
    <border>
      <left style="thin">
        <color theme="0" tint="-0.14993743705557422"/>
      </left>
      <right style="thin">
        <color theme="0" tint="-0.14993743705557422"/>
      </right>
      <top style="medium">
        <color theme="0" tint="-0.14996795556505021"/>
      </top>
      <bottom style="medium">
        <color theme="0" tint="-0.14996795556505021"/>
      </bottom>
      <diagonal/>
    </border>
    <border>
      <left/>
      <right/>
      <top/>
      <bottom style="thin">
        <color theme="0" tint="-0.34998626667073579"/>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54">
    <xf numFmtId="0" fontId="0" fillId="0" borderId="0"/>
    <xf numFmtId="0" fontId="3" fillId="0" borderId="0" applyNumberFormat="0" applyFill="0" applyBorder="0" applyAlignment="0" applyProtection="0">
      <alignment vertical="top"/>
      <protection locked="0"/>
    </xf>
    <xf numFmtId="9" fontId="8" fillId="0" borderId="0" applyFont="0" applyFill="0" applyBorder="0" applyAlignment="0" applyProtection="0"/>
    <xf numFmtId="0" fontId="21" fillId="0" borderId="0"/>
    <xf numFmtId="165" fontId="8" fillId="0" borderId="3" applyFont="0" applyFill="0" applyAlignment="0" applyProtection="0"/>
    <xf numFmtId="0" fontId="12" fillId="0" borderId="0" applyNumberFormat="0" applyFill="0" applyBorder="0" applyAlignment="0" applyProtection="0"/>
    <xf numFmtId="0" fontId="9" fillId="0" borderId="0" applyNumberFormat="0" applyFill="0" applyAlignment="0" applyProtection="0"/>
    <xf numFmtId="0" fontId="9" fillId="0" borderId="0" applyNumberFormat="0" applyFill="0" applyProtection="0">
      <alignment vertical="top"/>
    </xf>
    <xf numFmtId="0" fontId="8" fillId="0" borderId="0" applyNumberFormat="0" applyFill="0" applyProtection="0">
      <alignment horizontal="right" indent="1"/>
    </xf>
    <xf numFmtId="166" fontId="8" fillId="0" borderId="3">
      <alignment horizontal="center" vertical="center"/>
    </xf>
    <xf numFmtId="169" fontId="8" fillId="0" borderId="2" applyFill="0">
      <alignment horizontal="center" vertical="center"/>
    </xf>
    <xf numFmtId="0" fontId="8" fillId="0" borderId="2" applyFill="0">
      <alignment horizontal="center" vertical="center"/>
    </xf>
    <xf numFmtId="0" fontId="8" fillId="0" borderId="2" applyFill="0">
      <alignment horizontal="left" vertical="center" indent="2"/>
    </xf>
    <xf numFmtId="0" fontId="22" fillId="0" borderId="0" applyNumberFormat="0" applyFill="0" applyBorder="0" applyAlignment="0" applyProtection="0"/>
    <xf numFmtId="164" fontId="8" fillId="0" borderId="0" applyFont="0" applyFill="0" applyBorder="0" applyAlignment="0" applyProtection="0"/>
    <xf numFmtId="44" fontId="8" fillId="0" borderId="0" applyFont="0" applyFill="0" applyBorder="0" applyAlignment="0" applyProtection="0"/>
    <xf numFmtId="42" fontId="8" fillId="0" borderId="0" applyFont="0" applyFill="0" applyBorder="0" applyAlignment="0" applyProtection="0"/>
    <xf numFmtId="0" fontId="23" fillId="0" borderId="0" applyNumberFormat="0" applyFill="0" applyBorder="0" applyAlignment="0" applyProtection="0"/>
    <xf numFmtId="0" fontId="24" fillId="14" borderId="0" applyNumberFormat="0" applyBorder="0" applyAlignment="0" applyProtection="0"/>
    <xf numFmtId="0" fontId="25" fillId="15" borderId="0" applyNumberFormat="0" applyBorder="0" applyAlignment="0" applyProtection="0"/>
    <xf numFmtId="0" fontId="26" fillId="16" borderId="0" applyNumberFormat="0" applyBorder="0" applyAlignment="0" applyProtection="0"/>
    <xf numFmtId="0" fontId="27" fillId="17" borderId="11" applyNumberFormat="0" applyAlignment="0" applyProtection="0"/>
    <xf numFmtId="0" fontId="28" fillId="18" borderId="12" applyNumberFormat="0" applyAlignment="0" applyProtection="0"/>
    <xf numFmtId="0" fontId="29" fillId="18" borderId="11" applyNumberFormat="0" applyAlignment="0" applyProtection="0"/>
    <xf numFmtId="0" fontId="30" fillId="0" borderId="13" applyNumberFormat="0" applyFill="0" applyAlignment="0" applyProtection="0"/>
    <xf numFmtId="0" fontId="31" fillId="19" borderId="14" applyNumberFormat="0" applyAlignment="0" applyProtection="0"/>
    <xf numFmtId="0" fontId="32" fillId="0" borderId="0" applyNumberFormat="0" applyFill="0" applyBorder="0" applyAlignment="0" applyProtection="0"/>
    <xf numFmtId="0" fontId="8" fillId="20" borderId="15" applyNumberFormat="0" applyFont="0" applyAlignment="0" applyProtection="0"/>
    <xf numFmtId="0" fontId="33" fillId="0" borderId="0" applyNumberFormat="0" applyFill="0" applyBorder="0" applyAlignment="0" applyProtection="0"/>
    <xf numFmtId="0" fontId="5" fillId="0" borderId="16" applyNumberFormat="0" applyFill="0" applyAlignment="0" applyProtection="0"/>
    <xf numFmtId="0" fontId="21" fillId="21" borderId="0" applyNumberFormat="0" applyBorder="0" applyAlignment="0" applyProtection="0"/>
    <xf numFmtId="0" fontId="8" fillId="22" borderId="0" applyNumberFormat="0" applyBorder="0" applyAlignment="0" applyProtection="0"/>
    <xf numFmtId="0" fontId="8" fillId="23" borderId="0" applyNumberFormat="0" applyBorder="0" applyAlignment="0" applyProtection="0"/>
    <xf numFmtId="0" fontId="8" fillId="24" borderId="0" applyNumberFormat="0" applyBorder="0" applyAlignment="0" applyProtection="0"/>
    <xf numFmtId="0" fontId="21" fillId="25" borderId="0" applyNumberFormat="0" applyBorder="0" applyAlignment="0" applyProtection="0"/>
    <xf numFmtId="0" fontId="8" fillId="26" borderId="0" applyNumberFormat="0" applyBorder="0" applyAlignment="0" applyProtection="0"/>
    <xf numFmtId="0" fontId="8" fillId="27" borderId="0" applyNumberFormat="0" applyBorder="0" applyAlignment="0" applyProtection="0"/>
    <xf numFmtId="0" fontId="8" fillId="28" borderId="0" applyNumberFormat="0" applyBorder="0" applyAlignment="0" applyProtection="0"/>
    <xf numFmtId="0" fontId="21" fillId="29" borderId="0" applyNumberFormat="0" applyBorder="0" applyAlignment="0" applyProtection="0"/>
    <xf numFmtId="0" fontId="8" fillId="30" borderId="0" applyNumberFormat="0" applyBorder="0" applyAlignment="0" applyProtection="0"/>
    <xf numFmtId="0" fontId="8" fillId="31" borderId="0" applyNumberFormat="0" applyBorder="0" applyAlignment="0" applyProtection="0"/>
    <xf numFmtId="0" fontId="8" fillId="32" borderId="0" applyNumberFormat="0" applyBorder="0" applyAlignment="0" applyProtection="0"/>
    <xf numFmtId="0" fontId="21" fillId="33" borderId="0" applyNumberFormat="0" applyBorder="0" applyAlignment="0" applyProtection="0"/>
    <xf numFmtId="0" fontId="8" fillId="34" borderId="0" applyNumberFormat="0" applyBorder="0" applyAlignment="0" applyProtection="0"/>
    <xf numFmtId="0" fontId="8" fillId="35" borderId="0" applyNumberFormat="0" applyBorder="0" applyAlignment="0" applyProtection="0"/>
    <xf numFmtId="0" fontId="8" fillId="36" borderId="0" applyNumberFormat="0" applyBorder="0" applyAlignment="0" applyProtection="0"/>
    <xf numFmtId="0" fontId="21" fillId="37" borderId="0" applyNumberFormat="0" applyBorder="0" applyAlignment="0" applyProtection="0"/>
    <xf numFmtId="0" fontId="8" fillId="38" borderId="0" applyNumberFormat="0" applyBorder="0" applyAlignment="0" applyProtection="0"/>
    <xf numFmtId="0" fontId="8" fillId="39" borderId="0" applyNumberFormat="0" applyBorder="0" applyAlignment="0" applyProtection="0"/>
    <xf numFmtId="0" fontId="8" fillId="40" borderId="0" applyNumberFormat="0" applyBorder="0" applyAlignment="0" applyProtection="0"/>
    <xf numFmtId="0" fontId="21" fillId="41" borderId="0" applyNumberFormat="0" applyBorder="0" applyAlignment="0" applyProtection="0"/>
    <xf numFmtId="0" fontId="8" fillId="42" borderId="0" applyNumberFormat="0" applyBorder="0" applyAlignment="0" applyProtection="0"/>
    <xf numFmtId="0" fontId="8" fillId="43" borderId="0" applyNumberFormat="0" applyBorder="0" applyAlignment="0" applyProtection="0"/>
    <xf numFmtId="0" fontId="8" fillId="44" borderId="0" applyNumberFormat="0" applyBorder="0" applyAlignment="0" applyProtection="0"/>
  </cellStyleXfs>
  <cellXfs count="93">
    <xf numFmtId="0" fontId="0" fillId="0" borderId="0" xfId="0"/>
    <xf numFmtId="0" fontId="1" fillId="0" borderId="0" xfId="0" applyFont="1" applyAlignment="1">
      <alignment horizontal="left"/>
    </xf>
    <xf numFmtId="0" fontId="2" fillId="0" borderId="0" xfId="0" applyFont="1"/>
    <xf numFmtId="0" fontId="0" fillId="0" borderId="0" xfId="0" applyAlignment="1">
      <alignment vertical="center"/>
    </xf>
    <xf numFmtId="0" fontId="2" fillId="0" borderId="0" xfId="0" applyFont="1" applyAlignment="1">
      <alignment horizontal="center"/>
    </xf>
    <xf numFmtId="0" fontId="0" fillId="0" borderId="0" xfId="0" applyAlignment="1">
      <alignment horizontal="center"/>
    </xf>
    <xf numFmtId="0" fontId="0" fillId="0" borderId="0" xfId="0" applyAlignment="1">
      <alignment horizontal="right" vertical="center"/>
    </xf>
    <xf numFmtId="0" fontId="0" fillId="0" borderId="3" xfId="0" applyBorder="1" applyAlignment="1">
      <alignment horizontal="center" vertical="center"/>
    </xf>
    <xf numFmtId="0" fontId="6" fillId="13" borderId="1" xfId="0" applyFont="1" applyFill="1" applyBorder="1" applyAlignment="1">
      <alignment horizontal="left" vertical="center" indent="1"/>
    </xf>
    <xf numFmtId="0" fontId="6" fillId="13" borderId="1" xfId="0" applyFont="1" applyFill="1" applyBorder="1" applyAlignment="1">
      <alignment horizontal="center" vertical="center" wrapText="1"/>
    </xf>
    <xf numFmtId="0" fontId="11" fillId="12" borderId="8" xfId="0" applyFont="1" applyFill="1" applyBorder="1" applyAlignment="1">
      <alignment horizontal="center" vertical="center" shrinkToFit="1"/>
    </xf>
    <xf numFmtId="0" fontId="13" fillId="0" borderId="0" xfId="0" applyFont="1"/>
    <xf numFmtId="0" fontId="14" fillId="0" borderId="0" xfId="1" applyFont="1" applyAlignment="1" applyProtection="1"/>
    <xf numFmtId="9" fontId="4" fillId="0" borderId="2" xfId="2" applyFont="1" applyBorder="1" applyAlignment="1">
      <alignment horizontal="center" vertical="center"/>
    </xf>
    <xf numFmtId="0" fontId="4" fillId="0" borderId="2" xfId="0" applyFont="1" applyBorder="1" applyAlignment="1">
      <alignment horizontal="center" vertical="center"/>
    </xf>
    <xf numFmtId="0" fontId="5" fillId="8" borderId="2" xfId="0" applyFont="1" applyFill="1" applyBorder="1" applyAlignment="1">
      <alignment horizontal="left" vertical="center" indent="1"/>
    </xf>
    <xf numFmtId="9" fontId="4" fillId="8" borderId="2" xfId="2" applyFont="1" applyFill="1" applyBorder="1" applyAlignment="1">
      <alignment horizontal="center" vertical="center"/>
    </xf>
    <xf numFmtId="9" fontId="4" fillId="3" borderId="2" xfId="2" applyFont="1" applyFill="1" applyBorder="1" applyAlignment="1">
      <alignment horizontal="center" vertical="center"/>
    </xf>
    <xf numFmtId="0" fontId="5" fillId="9" borderId="2" xfId="0" applyFont="1" applyFill="1" applyBorder="1" applyAlignment="1">
      <alignment horizontal="left" vertical="center" indent="1"/>
    </xf>
    <xf numFmtId="9" fontId="4" fillId="9" borderId="2" xfId="2" applyFont="1" applyFill="1" applyBorder="1" applyAlignment="1">
      <alignment horizontal="center" vertical="center"/>
    </xf>
    <xf numFmtId="9" fontId="4" fillId="4" borderId="2" xfId="2" applyFont="1" applyFill="1" applyBorder="1" applyAlignment="1">
      <alignment horizontal="center" vertical="center"/>
    </xf>
    <xf numFmtId="0" fontId="5" fillId="6" borderId="2" xfId="0" applyFont="1" applyFill="1" applyBorder="1" applyAlignment="1">
      <alignment horizontal="left" vertical="center" indent="1"/>
    </xf>
    <xf numFmtId="9" fontId="4" fillId="6" borderId="2" xfId="2" applyFont="1" applyFill="1" applyBorder="1" applyAlignment="1">
      <alignment horizontal="center" vertical="center"/>
    </xf>
    <xf numFmtId="9" fontId="4" fillId="11" borderId="2" xfId="2" applyFont="1" applyFill="1" applyBorder="1" applyAlignment="1">
      <alignment horizontal="center" vertical="center"/>
    </xf>
    <xf numFmtId="0" fontId="5" fillId="5" borderId="2" xfId="0" applyFont="1" applyFill="1" applyBorder="1" applyAlignment="1">
      <alignment horizontal="left" vertical="center" indent="1"/>
    </xf>
    <xf numFmtId="9" fontId="4" fillId="5" borderId="2" xfId="2" applyFont="1" applyFill="1" applyBorder="1" applyAlignment="1">
      <alignment horizontal="center" vertical="center"/>
    </xf>
    <xf numFmtId="9" fontId="4" fillId="10" borderId="2" xfId="2" applyFont="1" applyFill="1" applyBorder="1" applyAlignment="1">
      <alignment horizontal="center" vertical="center"/>
    </xf>
    <xf numFmtId="0" fontId="7" fillId="2" borderId="2" xfId="0" applyFont="1" applyFill="1" applyBorder="1" applyAlignment="1">
      <alignment horizontal="left" vertical="center" indent="1"/>
    </xf>
    <xf numFmtId="9" fontId="4" fillId="2" borderId="2" xfId="2" applyFont="1" applyFill="1" applyBorder="1" applyAlignment="1">
      <alignment horizontal="center" vertical="center"/>
    </xf>
    <xf numFmtId="0" fontId="4" fillId="2" borderId="2" xfId="0" applyFont="1" applyFill="1" applyBorder="1" applyAlignment="1">
      <alignment horizontal="center" vertical="center"/>
    </xf>
    <xf numFmtId="0" fontId="0" fillId="0" borderId="9" xfId="0" applyBorder="1" applyAlignment="1">
      <alignment vertical="center"/>
    </xf>
    <xf numFmtId="0" fontId="0" fillId="0" borderId="9" xfId="0" applyBorder="1" applyAlignment="1">
      <alignment horizontal="right" vertical="center"/>
    </xf>
    <xf numFmtId="0" fontId="0" fillId="2" borderId="9" xfId="0" applyFill="1" applyBorder="1" applyAlignment="1">
      <alignment vertical="center"/>
    </xf>
    <xf numFmtId="0" fontId="2" fillId="0" borderId="0" xfId="0" applyFont="1" applyAlignment="1">
      <alignment horizontal="center" vertical="center"/>
    </xf>
    <xf numFmtId="0" fontId="2" fillId="0" borderId="0" xfId="0" applyFont="1" applyAlignment="1">
      <alignment vertical="top"/>
    </xf>
    <xf numFmtId="0" fontId="15" fillId="0" borderId="0" xfId="0" applyFont="1" applyAlignment="1">
      <alignment horizontal="left" vertical="center"/>
    </xf>
    <xf numFmtId="0" fontId="16" fillId="0" borderId="0" xfId="0" applyFont="1" applyAlignment="1">
      <alignment horizontal="left" vertical="center"/>
    </xf>
    <xf numFmtId="0" fontId="18" fillId="0" borderId="0" xfId="0" applyFont="1"/>
    <xf numFmtId="0" fontId="20" fillId="0" borderId="0" xfId="0" applyFont="1" applyAlignment="1">
      <alignment vertical="center"/>
    </xf>
    <xf numFmtId="0" fontId="19" fillId="0" borderId="0" xfId="0" applyFont="1" applyAlignment="1">
      <alignment horizontal="left" vertical="top" wrapText="1" indent="1"/>
    </xf>
    <xf numFmtId="0" fontId="2" fillId="0" borderId="0" xfId="0" applyFont="1" applyAlignment="1">
      <alignment horizontal="left" vertical="top"/>
    </xf>
    <xf numFmtId="0" fontId="17" fillId="0" borderId="0" xfId="0" applyFont="1" applyAlignment="1">
      <alignment vertical="top"/>
    </xf>
    <xf numFmtId="0" fontId="21" fillId="0" borderId="0" xfId="3"/>
    <xf numFmtId="0" fontId="21" fillId="0" borderId="0" xfId="3" applyAlignment="1">
      <alignment wrapText="1"/>
    </xf>
    <xf numFmtId="0" fontId="21" fillId="0" borderId="0" xfId="0" applyFont="1" applyAlignment="1">
      <alignment horizontal="center"/>
    </xf>
    <xf numFmtId="0" fontId="14" fillId="0" borderId="0" xfId="1" applyFont="1" applyProtection="1">
      <alignment vertical="top"/>
    </xf>
    <xf numFmtId="0" fontId="0" fillId="0" borderId="0" xfId="0" applyAlignment="1">
      <alignment wrapText="1"/>
    </xf>
    <xf numFmtId="0" fontId="12" fillId="0" borderId="0" xfId="5" applyAlignment="1">
      <alignment horizontal="left"/>
    </xf>
    <xf numFmtId="0" fontId="9" fillId="0" borderId="0" xfId="6"/>
    <xf numFmtId="0" fontId="8" fillId="8" borderId="2" xfId="11" applyFill="1">
      <alignment horizontal="center" vertical="center"/>
    </xf>
    <xf numFmtId="0" fontId="8" fillId="9" borderId="2" xfId="11" applyFill="1">
      <alignment horizontal="center" vertical="center"/>
    </xf>
    <xf numFmtId="0" fontId="8" fillId="6" borderId="2" xfId="11" applyFill="1">
      <alignment horizontal="center" vertical="center"/>
    </xf>
    <xf numFmtId="0" fontId="8" fillId="11" borderId="2" xfId="11" applyFill="1">
      <alignment horizontal="center" vertical="center"/>
    </xf>
    <xf numFmtId="0" fontId="8" fillId="5" borderId="2" xfId="11" applyFill="1">
      <alignment horizontal="center" vertical="center"/>
    </xf>
    <xf numFmtId="0" fontId="8" fillId="10" borderId="2" xfId="11" applyFill="1">
      <alignment horizontal="center" vertical="center"/>
    </xf>
    <xf numFmtId="0" fontId="8" fillId="0" borderId="2" xfId="11">
      <alignment horizontal="center" vertical="center"/>
    </xf>
    <xf numFmtId="0" fontId="8" fillId="11" borderId="2" xfId="12" applyFill="1">
      <alignment horizontal="left" vertical="center" indent="2"/>
    </xf>
    <xf numFmtId="0" fontId="8" fillId="10" borderId="2" xfId="12" applyFill="1">
      <alignment horizontal="left" vertical="center" indent="2"/>
    </xf>
    <xf numFmtId="0" fontId="8" fillId="0" borderId="2" xfId="12">
      <alignment horizontal="left" vertical="center" indent="2"/>
    </xf>
    <xf numFmtId="0" fontId="0" fillId="0" borderId="0" xfId="0" applyAlignment="1">
      <alignment horizontal="left" vertical="top" wrapText="1" indent="1"/>
    </xf>
    <xf numFmtId="0" fontId="3" fillId="0" borderId="0" xfId="1" applyAlignment="1" applyProtection="1">
      <alignment horizontal="left" vertical="top" indent="1"/>
    </xf>
    <xf numFmtId="168" fontId="10" fillId="7" borderId="6" xfId="0" applyNumberFormat="1" applyFont="1" applyFill="1" applyBorder="1" applyAlignment="1">
      <alignment horizontal="center" vertical="center"/>
    </xf>
    <xf numFmtId="168" fontId="10" fillId="7" borderId="0" xfId="0" applyNumberFormat="1" applyFont="1" applyFill="1" applyAlignment="1">
      <alignment horizontal="center" vertical="center"/>
    </xf>
    <xf numFmtId="168" fontId="10" fillId="7" borderId="7" xfId="0" applyNumberFormat="1" applyFont="1" applyFill="1" applyBorder="1" applyAlignment="1">
      <alignment horizontal="center" vertical="center"/>
    </xf>
    <xf numFmtId="169" fontId="8" fillId="3" borderId="2" xfId="10" applyNumberFormat="1" applyFill="1">
      <alignment horizontal="center" vertical="center"/>
    </xf>
    <xf numFmtId="169" fontId="8" fillId="4" borderId="2" xfId="10" applyNumberFormat="1" applyFill="1">
      <alignment horizontal="center" vertical="center"/>
    </xf>
    <xf numFmtId="169" fontId="8" fillId="11" borderId="2" xfId="10" applyNumberFormat="1" applyFill="1">
      <alignment horizontal="center" vertical="center"/>
    </xf>
    <xf numFmtId="169" fontId="8" fillId="10" borderId="2" xfId="10" applyNumberFormat="1" applyFill="1">
      <alignment horizontal="center" vertical="center"/>
    </xf>
    <xf numFmtId="169" fontId="0" fillId="8" borderId="2" xfId="0" applyNumberFormat="1" applyFill="1" applyBorder="1" applyAlignment="1">
      <alignment horizontal="center" vertical="center"/>
    </xf>
    <xf numFmtId="169" fontId="4" fillId="8" borderId="2" xfId="0" applyNumberFormat="1" applyFont="1" applyFill="1" applyBorder="1" applyAlignment="1">
      <alignment horizontal="center" vertical="center"/>
    </xf>
    <xf numFmtId="169" fontId="0" fillId="9" borderId="2" xfId="0" applyNumberFormat="1" applyFill="1" applyBorder="1" applyAlignment="1">
      <alignment horizontal="center" vertical="center"/>
    </xf>
    <xf numFmtId="169" fontId="4" fillId="9" borderId="2" xfId="0" applyNumberFormat="1" applyFont="1" applyFill="1" applyBorder="1" applyAlignment="1">
      <alignment horizontal="center" vertical="center"/>
    </xf>
    <xf numFmtId="169" fontId="0" fillId="6" borderId="2" xfId="0" applyNumberFormat="1" applyFill="1" applyBorder="1" applyAlignment="1">
      <alignment horizontal="center" vertical="center"/>
    </xf>
    <xf numFmtId="169" fontId="4" fillId="6" borderId="2" xfId="0" applyNumberFormat="1" applyFont="1" applyFill="1" applyBorder="1" applyAlignment="1">
      <alignment horizontal="center" vertical="center"/>
    </xf>
    <xf numFmtId="169" fontId="0" fillId="5" borderId="2" xfId="0" applyNumberFormat="1" applyFill="1" applyBorder="1" applyAlignment="1">
      <alignment horizontal="center" vertical="center"/>
    </xf>
    <xf numFmtId="169" fontId="4" fillId="5" borderId="2" xfId="0" applyNumberFormat="1" applyFont="1" applyFill="1" applyBorder="1" applyAlignment="1">
      <alignment horizontal="center" vertical="center"/>
    </xf>
    <xf numFmtId="169" fontId="8" fillId="0" borderId="2" xfId="10" applyNumberFormat="1">
      <alignment horizontal="center" vertical="center"/>
    </xf>
    <xf numFmtId="169" fontId="0" fillId="2" borderId="2" xfId="0" applyNumberFormat="1" applyFont="1" applyFill="1" applyBorder="1" applyAlignment="1">
      <alignment horizontal="center" vertical="center"/>
    </xf>
    <xf numFmtId="0" fontId="34" fillId="2" borderId="2" xfId="0" applyFont="1" applyFill="1" applyBorder="1" applyAlignment="1">
      <alignment horizontal="center" vertical="center"/>
    </xf>
    <xf numFmtId="167" fontId="0" fillId="7" borderId="4" xfId="0" applyNumberFormat="1" applyFill="1" applyBorder="1" applyAlignment="1">
      <alignment horizontal="left" vertical="center" wrapText="1" indent="1"/>
    </xf>
    <xf numFmtId="167" fontId="0" fillId="7" borderId="1" xfId="0" applyNumberFormat="1" applyFill="1" applyBorder="1" applyAlignment="1">
      <alignment horizontal="left" vertical="center" wrapText="1" indent="1"/>
    </xf>
    <xf numFmtId="167" fontId="0" fillId="7" borderId="5" xfId="0" applyNumberFormat="1" applyFill="1" applyBorder="1" applyAlignment="1">
      <alignment horizontal="left" vertical="center" wrapText="1" indent="1"/>
    </xf>
    <xf numFmtId="166" fontId="8" fillId="0" borderId="3" xfId="9">
      <alignment horizontal="center" vertical="center"/>
    </xf>
    <xf numFmtId="0" fontId="8" fillId="0" borderId="0" xfId="8">
      <alignment horizontal="right" indent="1"/>
    </xf>
    <xf numFmtId="0" fontId="8" fillId="0" borderId="7" xfId="8" applyBorder="1">
      <alignment horizontal="right" indent="1"/>
    </xf>
    <xf numFmtId="0" fontId="0" fillId="0" borderId="10" xfId="0" applyBorder="1"/>
    <xf numFmtId="0" fontId="35" fillId="0" borderId="0" xfId="7" applyFont="1">
      <alignment vertical="top"/>
    </xf>
    <xf numFmtId="0" fontId="0" fillId="3" borderId="2" xfId="12" applyFont="1" applyFill="1">
      <alignment horizontal="left" vertical="center" indent="2"/>
    </xf>
    <xf numFmtId="0" fontId="0" fillId="3" borderId="2" xfId="11" applyFont="1" applyFill="1">
      <alignment horizontal="center" vertical="center"/>
    </xf>
    <xf numFmtId="0" fontId="0" fillId="4" borderId="2" xfId="12" applyFont="1" applyFill="1">
      <alignment horizontal="left" vertical="center" indent="2"/>
    </xf>
    <xf numFmtId="0" fontId="0" fillId="4" borderId="2" xfId="11" applyFont="1" applyFill="1">
      <alignment horizontal="center" vertical="center"/>
    </xf>
    <xf numFmtId="0" fontId="0" fillId="11" borderId="2" xfId="12" applyFont="1" applyFill="1">
      <alignment horizontal="left" vertical="center" indent="2"/>
    </xf>
    <xf numFmtId="0" fontId="0" fillId="11" borderId="2" xfId="11" applyFont="1" applyFill="1">
      <alignment horizontal="center" vertical="center"/>
    </xf>
  </cellXfs>
  <cellStyles count="54">
    <cellStyle name="20% - Ênfase1" xfId="31" builtinId="30" customBuiltin="1"/>
    <cellStyle name="20% - Ênfase2" xfId="35" builtinId="34" customBuiltin="1"/>
    <cellStyle name="20% - Ênfase3" xfId="39" builtinId="38" customBuiltin="1"/>
    <cellStyle name="20% - Ênfase4" xfId="43" builtinId="42" customBuiltin="1"/>
    <cellStyle name="20% - Ênfase5" xfId="47" builtinId="46" customBuiltin="1"/>
    <cellStyle name="20% - Ênfase6" xfId="51" builtinId="50" customBuiltin="1"/>
    <cellStyle name="40% - Ênfase1" xfId="32" builtinId="31" customBuiltin="1"/>
    <cellStyle name="40% - Ênfase2" xfId="36" builtinId="35" customBuiltin="1"/>
    <cellStyle name="40% - Ênfase3" xfId="40" builtinId="39" customBuiltin="1"/>
    <cellStyle name="40% - Ênfase4" xfId="44" builtinId="43" customBuiltin="1"/>
    <cellStyle name="40% - Ênfase5" xfId="48" builtinId="47" customBuiltin="1"/>
    <cellStyle name="40% - Ênfase6" xfId="52" builtinId="51" customBuiltin="1"/>
    <cellStyle name="60% - Ênfase1" xfId="33" builtinId="32" customBuiltin="1"/>
    <cellStyle name="60% - Ênfase2" xfId="37" builtinId="36" customBuiltin="1"/>
    <cellStyle name="60% - Ênfase3" xfId="41" builtinId="40" customBuiltin="1"/>
    <cellStyle name="60% - Ênfase4" xfId="45" builtinId="44" customBuiltin="1"/>
    <cellStyle name="60% - Ênfase5" xfId="49" builtinId="48" customBuiltin="1"/>
    <cellStyle name="60% - Ênfase6" xfId="53" builtinId="52" customBuiltin="1"/>
    <cellStyle name="Bom" xfId="18" builtinId="26" customBuiltin="1"/>
    <cellStyle name="Cálculo" xfId="23" builtinId="22" customBuiltin="1"/>
    <cellStyle name="Célula de Verificação" xfId="25" builtinId="23" customBuiltin="1"/>
    <cellStyle name="Célula Vinculada" xfId="24" builtinId="24" customBuiltin="1"/>
    <cellStyle name="Data" xfId="10"/>
    <cellStyle name="Ênfase1" xfId="30" builtinId="29" customBuiltin="1"/>
    <cellStyle name="Ênfase2" xfId="34" builtinId="33" customBuiltin="1"/>
    <cellStyle name="Ênfase3" xfId="38" builtinId="37" customBuiltin="1"/>
    <cellStyle name="Ênfase4" xfId="42" builtinId="41" customBuiltin="1"/>
    <cellStyle name="Ênfase5" xfId="46" builtinId="45" customBuiltin="1"/>
    <cellStyle name="Ênfase6" xfId="50" builtinId="49" customBuiltin="1"/>
    <cellStyle name="Entrada" xfId="21" builtinId="20" customBuiltin="1"/>
    <cellStyle name="Hiperlink" xfId="1" builtinId="8" customBuiltin="1"/>
    <cellStyle name="Hiperlink Visitado" xfId="13" builtinId="9" customBuiltin="1"/>
    <cellStyle name="Incorreto" xfId="19" builtinId="27" customBuiltin="1"/>
    <cellStyle name="Início do Projeto" xfId="9"/>
    <cellStyle name="Moeda" xfId="15" builtinId="4" customBuiltin="1"/>
    <cellStyle name="Moeda [0]" xfId="16" builtinId="7" customBuiltin="1"/>
    <cellStyle name="Neutra" xfId="20" builtinId="28" customBuiltin="1"/>
    <cellStyle name="Nome" xfId="11"/>
    <cellStyle name="Normal" xfId="0" builtinId="0" customBuiltin="1"/>
    <cellStyle name="Nota" xfId="27" builtinId="10" customBuiltin="1"/>
    <cellStyle name="Porcentagem" xfId="2" builtinId="5" customBuiltin="1"/>
    <cellStyle name="Saída" xfId="22" builtinId="21" customBuiltin="1"/>
    <cellStyle name="Separador de milhares [0]" xfId="14" builtinId="6" customBuiltin="1"/>
    <cellStyle name="Tarefa" xfId="12"/>
    <cellStyle name="Texto de Aviso" xfId="26" builtinId="11" customBuiltin="1"/>
    <cellStyle name="Texto Explicativo" xfId="28" builtinId="53" customBuiltin="1"/>
    <cellStyle name="Título" xfId="5" builtinId="15" customBuiltin="1"/>
    <cellStyle name="Título 1" xfId="6" builtinId="16" customBuiltin="1"/>
    <cellStyle name="Título 2" xfId="7" builtinId="17" customBuiltin="1"/>
    <cellStyle name="Título 3" xfId="8" builtinId="18" customBuiltin="1"/>
    <cellStyle name="Título 4" xfId="17" builtinId="19" customBuiltin="1"/>
    <cellStyle name="Total" xfId="29" builtinId="25" customBuiltin="1"/>
    <cellStyle name="Vírgula" xfId="4" builtinId="3" customBuiltin="1"/>
    <cellStyle name="zTextoOculto" xfId="3"/>
  </cellStyles>
  <dxfs count="12">
    <dxf>
      <fill>
        <patternFill>
          <bgColor theme="7"/>
        </patternFill>
      </fill>
      <border>
        <left/>
        <right/>
      </border>
    </dxf>
    <dxf>
      <fill>
        <patternFill>
          <bgColor theme="0" tint="-0.34998626667073579"/>
        </patternFill>
      </fill>
    </dxf>
    <dxf>
      <border>
        <left style="thin">
          <color rgb="FFC00000"/>
        </left>
        <right style="thin">
          <color rgb="FFC00000"/>
        </right>
        <vertical/>
        <horizontal/>
      </border>
    </dxf>
    <dxf>
      <border>
        <left style="thin">
          <color theme="0" tint="-0.24994659260841701"/>
        </left>
      </border>
    </dxf>
    <dxf>
      <border>
        <left style="thin">
          <color theme="0" tint="-0.24994659260841701"/>
        </left>
      </border>
    </dxf>
    <dxf>
      <border>
        <top style="thin">
          <color theme="4" tint="0.39994506668294322"/>
        </top>
      </border>
    </dxf>
    <dxf>
      <fill>
        <patternFill>
          <bgColor theme="0" tint="-4.9989318521683403E-2"/>
        </patternFill>
      </fill>
      <border>
        <top style="thin">
          <color theme="4" tint="0.39994506668294322"/>
        </top>
      </border>
    </dxf>
    <dxf>
      <font>
        <b/>
        <color theme="1"/>
      </font>
    </dxf>
    <dxf>
      <font>
        <b val="0"/>
        <i val="0"/>
        <color theme="1"/>
      </font>
      <border>
        <left style="thin">
          <color theme="4"/>
        </left>
      </border>
    </dxf>
    <dxf>
      <font>
        <b/>
        <color theme="1"/>
      </font>
      <border>
        <top style="double">
          <color theme="4"/>
        </top>
      </border>
    </dxf>
    <dxf>
      <font>
        <b/>
        <color theme="0"/>
      </font>
      <fill>
        <patternFill patternType="solid">
          <fgColor theme="4"/>
          <bgColor theme="4"/>
        </patternFill>
      </fill>
    </dxf>
    <dxf>
      <font>
        <color theme="1"/>
      </font>
      <border>
        <left style="thin">
          <color theme="4"/>
        </left>
        <right style="thin">
          <color theme="4"/>
        </right>
        <top style="thin">
          <color theme="4"/>
        </top>
        <bottom style="thin">
          <color theme="4"/>
        </bottom>
      </border>
    </dxf>
  </dxfs>
  <tableStyles count="1" defaultTableStyle="TableStyleMedium2" defaultPivotStyle="PivotStyleLight16">
    <tableStyle name="ToDoList" pivot="0" count="9">
      <tableStyleElement type="wholeTable" dxfId="11"/>
      <tableStyleElement type="headerRow" dxfId="10"/>
      <tableStyleElement type="totalRow" dxfId="9"/>
      <tableStyleElement type="firstColumn" dxfId="8"/>
      <tableStyleElement type="lastColumn" dxfId="7"/>
      <tableStyleElement type="firstRowStripe" dxfId="6"/>
      <tableStyleElement type="secondRowStripe" dxfId="5"/>
      <tableStyleElement type="firstColumnStripe" dxfId="4"/>
      <tableStyleElement type="secondColumnStripe" dxfId="3"/>
    </tableStyle>
  </tableStyles>
  <colors>
    <indexedColors>
      <rgbColor rgb="00000000"/>
      <rgbColor rgb="00FFFFFF"/>
      <rgbColor rgb="00FF0000"/>
      <rgbColor rgb="0000FF00"/>
      <rgbColor rgb="000000FF"/>
      <rgbColor rgb="00FFFF00"/>
      <rgbColor rgb="00FF00FF"/>
      <rgbColor rgb="0000FFFF"/>
      <rgbColor rgb="00000000"/>
      <rgbColor rgb="00FFFFFF"/>
      <rgbColor rgb="00FF0000"/>
      <rgbColor rgb="005FF25F"/>
      <rgbColor rgb="000000FF"/>
      <rgbColor rgb="00FFFF00"/>
      <rgbColor rgb="00DE3018"/>
      <rgbColor rgb="0053D4C9"/>
      <rgbColor rgb="006B0C00"/>
      <rgbColor rgb="00006500"/>
      <rgbColor rgb="00182C63"/>
      <rgbColor rgb="00819C00"/>
      <rgbColor rgb="00C9B783"/>
      <rgbColor rgb="00007F74"/>
      <rgbColor rgb="00F0F0F0"/>
      <rgbColor rgb="00666666"/>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799FC4"/>
      <rgbColor rgb="00C1F1ED"/>
      <rgbColor rgb="00D6F4D9"/>
      <rgbColor rgb="00FFFFCC"/>
      <rgbColor rgb="00C9DAFB"/>
      <rgbColor rgb="00FAC8D7"/>
      <rgbColor rgb="00F3F0E4"/>
      <rgbColor rgb="00E4E8F3"/>
      <rgbColor rgb="001849B5"/>
      <rgbColor rgb="0036ACA2"/>
      <rgbColor rgb="00F0BA00"/>
      <rgbColor rgb="00BCC5E1"/>
      <rgbColor rgb="008394C9"/>
      <rgbColor rgb="003B4E87"/>
      <rgbColor rgb="0087743B"/>
      <rgbColor rgb="00C0C0C0"/>
      <rgbColor rgb="00003366"/>
      <rgbColor rgb="00109618"/>
      <rgbColor rgb="00085108"/>
      <rgbColor rgb="00635100"/>
      <rgbColor rgb="00273359"/>
      <rgbColor rgb="00E1D8BC"/>
      <rgbColor rgb="00594C27"/>
      <rgbColor rgb="00333333"/>
    </indexedColors>
    <mruColors>
      <color rgb="FF215881"/>
      <color rgb="FF42648A"/>
      <color rgb="FF969696"/>
      <color rgb="FFC0C0C0"/>
      <color rgb="FF427FC2"/>
      <color rgb="FF44678E"/>
      <color rgb="FF4A6F9C"/>
      <color rgb="FF3969AD"/>
      <color rgb="FF00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drawings/_rels/drawing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s://www.vertex42.com/ExcelTemplates/simple-gantt-chart.html?utm_source=ms&amp;utm_medium=file&amp;utm_campaign=office&amp;utm_content=logo" TargetMode="Externa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95250</xdr:rowOff>
    </xdr:from>
    <xdr:to>
      <xdr:col>0</xdr:col>
      <xdr:colOff>1905000</xdr:colOff>
      <xdr:row>0</xdr:row>
      <xdr:rowOff>523875</xdr:rowOff>
    </xdr:to>
    <xdr:pic>
      <xdr:nvPicPr>
        <xdr:cNvPr id="2" name="Imagem 1" descr="Logotipo da Vertex42">
          <a:hlinkClick xmlns:r="http://schemas.openxmlformats.org/officeDocument/2006/relationships" r:id="rId1"/>
          <a:extLst>
            <a:ext uri="{FF2B5EF4-FFF2-40B4-BE49-F238E27FC236}">
              <a16:creationId xmlns:a16="http://schemas.microsoft.com/office/drawing/2014/main" xmlns="" id="{F8638EF3-2DAE-40BC-A45A-2B8C536FAB0D}"/>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90500" y="95250"/>
          <a:ext cx="1905000" cy="428625"/>
        </a:xfrm>
        <a:prstGeom prst="rect">
          <a:avLst/>
        </a:prstGeom>
      </xdr:spPr>
    </xdr:pic>
    <xdr:clientData/>
  </xdr:twoCellAnchor>
</xdr:wsDr>
</file>

<file path=xl/theme/theme1.xml><?xml version="1.0" encoding="utf-8"?>
<a:theme xmlns:a="http://schemas.openxmlformats.org/drawingml/2006/main" name="Office Them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Calibri">
      <a:majorFont>
        <a:latin typeface="Calibri" panose="020F050202020403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alibri" panose="020F050202020403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www.vertex42.com/ExcelTemplates/simple-gantt-chart.html?utm_source=ms&amp;utm_medium=file&amp;utm_campaign=office&amp;utm_content=text" TargetMode="External"/><Relationship Id="rId1" Type="http://schemas.openxmlformats.org/officeDocument/2006/relationships/hyperlink" Target="https://www.vertex42.com/ExcelTemplates/simple-gantt-chart.html?utm_source=ms&amp;utm_medium=file&amp;utm_campaign=office&amp;utm_content=url" TargetMode="External"/></Relationships>
</file>

<file path=xl/worksheets/_rels/sheet2.xml.rels><?xml version="1.0" encoding="UTF-8" standalone="yes"?>
<Relationships xmlns="http://schemas.openxmlformats.org/package/2006/relationships"><Relationship Id="rId3" Type="http://schemas.openxmlformats.org/officeDocument/2006/relationships/hyperlink" Target="https://www.vertex42.com/ExcelTemplates/simple-gantt-chart.html?utm_source=ms&amp;utm_medium=file&amp;utm_campaign=office&amp;utm_content=url" TargetMode="External"/><Relationship Id="rId2" Type="http://schemas.openxmlformats.org/officeDocument/2006/relationships/hyperlink" Target="https://www.vertex42.com/ExcelTemplates/simple-gantt-chart.html?utm_source=ms&amp;utm_medium=file&amp;utm_campaign=office&amp;utm_content=help" TargetMode="External"/><Relationship Id="rId1" Type="http://schemas.openxmlformats.org/officeDocument/2006/relationships/hyperlink" Target="https://www.vertex42.com/ExcelTemplates/excel-project-management.html?utm_source=ms&amp;utm_medium=file&amp;utm_campaign=office&amp;utm_content=text" TargetMode="External"/><Relationship Id="rId6" Type="http://schemas.openxmlformats.org/officeDocument/2006/relationships/drawing" Target="../drawings/drawing1.xml"/><Relationship Id="rId5" Type="http://schemas.openxmlformats.org/officeDocument/2006/relationships/printerSettings" Target="../printerSettings/printerSettings2.bin"/><Relationship Id="rId4" Type="http://schemas.openxmlformats.org/officeDocument/2006/relationships/hyperlink" Target="https://www.vertex42.com/ExcelTemplates/simple-gantt-chart.html?utm_source=ms&amp;utm_medium=file&amp;utm_campaign=office&amp;utm_content=tex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BL39"/>
  <sheetViews>
    <sheetView showGridLines="0" tabSelected="1" showRuler="0" topLeftCell="B1" zoomScaleNormal="100" zoomScalePageLayoutView="70" workbookViewId="0">
      <pane ySplit="6" topLeftCell="A7" activePane="bottomLeft" state="frozen"/>
      <selection pane="bottomLeft" activeCell="E25" sqref="E25"/>
    </sheetView>
  </sheetViews>
  <sheetFormatPr defaultRowHeight="30" customHeight="1" x14ac:dyDescent="0.25"/>
  <cols>
    <col min="1" max="1" width="2.7109375" style="42" customWidth="1"/>
    <col min="2" max="2" width="56.85546875" bestFit="1" customWidth="1"/>
    <col min="3" max="3" width="30.7109375" customWidth="1"/>
    <col min="4" max="4" width="10.7109375" customWidth="1"/>
    <col min="5" max="5" width="10.42578125" style="5" customWidth="1"/>
    <col min="6" max="6" width="10.42578125" customWidth="1"/>
    <col min="7" max="7" width="2.7109375" customWidth="1"/>
    <col min="8" max="8" width="8.5703125" hidden="1" customWidth="1"/>
    <col min="9" max="64" width="2.5703125" customWidth="1"/>
    <col min="69" max="70" width="10.28515625"/>
  </cols>
  <sheetData>
    <row r="1" spans="1:64" ht="30" customHeight="1" x14ac:dyDescent="0.45">
      <c r="A1" s="43" t="s">
        <v>0</v>
      </c>
      <c r="B1" s="47" t="s">
        <v>45</v>
      </c>
      <c r="C1" s="1"/>
      <c r="D1" s="2"/>
      <c r="E1" s="4"/>
      <c r="F1" s="33"/>
      <c r="H1" s="2"/>
      <c r="I1" s="11" t="s">
        <v>29</v>
      </c>
    </row>
    <row r="2" spans="1:64" ht="30" customHeight="1" x14ac:dyDescent="0.3">
      <c r="A2" s="42" t="s">
        <v>1</v>
      </c>
      <c r="B2" s="48" t="s">
        <v>46</v>
      </c>
      <c r="I2" s="45" t="s">
        <v>30</v>
      </c>
    </row>
    <row r="3" spans="1:64" ht="30" customHeight="1" x14ac:dyDescent="0.25">
      <c r="A3" s="42" t="s">
        <v>2</v>
      </c>
      <c r="B3" s="86" t="s">
        <v>47</v>
      </c>
      <c r="C3" s="83" t="s">
        <v>21</v>
      </c>
      <c r="D3" s="84"/>
      <c r="E3" s="82">
        <f>DATE(2022,1,31)</f>
        <v>44592</v>
      </c>
      <c r="F3" s="82"/>
    </row>
    <row r="4" spans="1:64" ht="30" customHeight="1" x14ac:dyDescent="0.25">
      <c r="A4" s="43" t="s">
        <v>3</v>
      </c>
      <c r="C4" s="83" t="s">
        <v>22</v>
      </c>
      <c r="D4" s="84"/>
      <c r="E4" s="7">
        <v>5</v>
      </c>
      <c r="I4" s="79">
        <f>I5</f>
        <v>44620</v>
      </c>
      <c r="J4" s="80"/>
      <c r="K4" s="80"/>
      <c r="L4" s="80"/>
      <c r="M4" s="80"/>
      <c r="N4" s="80"/>
      <c r="O4" s="81"/>
      <c r="P4" s="79">
        <f>P5</f>
        <v>44627</v>
      </c>
      <c r="Q4" s="80"/>
      <c r="R4" s="80"/>
      <c r="S4" s="80"/>
      <c r="T4" s="80"/>
      <c r="U4" s="80"/>
      <c r="V4" s="81"/>
      <c r="W4" s="79">
        <f>W5</f>
        <v>44634</v>
      </c>
      <c r="X4" s="80"/>
      <c r="Y4" s="80"/>
      <c r="Z4" s="80"/>
      <c r="AA4" s="80"/>
      <c r="AB4" s="80"/>
      <c r="AC4" s="81"/>
      <c r="AD4" s="79">
        <f>AD5</f>
        <v>44641</v>
      </c>
      <c r="AE4" s="80"/>
      <c r="AF4" s="80"/>
      <c r="AG4" s="80"/>
      <c r="AH4" s="80"/>
      <c r="AI4" s="80"/>
      <c r="AJ4" s="81"/>
      <c r="AK4" s="79">
        <f>AK5</f>
        <v>44648</v>
      </c>
      <c r="AL4" s="80"/>
      <c r="AM4" s="80"/>
      <c r="AN4" s="80"/>
      <c r="AO4" s="80"/>
      <c r="AP4" s="80"/>
      <c r="AQ4" s="81"/>
      <c r="AR4" s="79">
        <f>AR5</f>
        <v>44655</v>
      </c>
      <c r="AS4" s="80"/>
      <c r="AT4" s="80"/>
      <c r="AU4" s="80"/>
      <c r="AV4" s="80"/>
      <c r="AW4" s="80"/>
      <c r="AX4" s="81"/>
      <c r="AY4" s="79">
        <f>AY5</f>
        <v>44662</v>
      </c>
      <c r="AZ4" s="80"/>
      <c r="BA4" s="80"/>
      <c r="BB4" s="80"/>
      <c r="BC4" s="80"/>
      <c r="BD4" s="80"/>
      <c r="BE4" s="81"/>
      <c r="BF4" s="79">
        <f>BF5</f>
        <v>44669</v>
      </c>
      <c r="BG4" s="80"/>
      <c r="BH4" s="80"/>
      <c r="BI4" s="80"/>
      <c r="BJ4" s="80"/>
      <c r="BK4" s="80"/>
      <c r="BL4" s="81"/>
    </row>
    <row r="5" spans="1:64" ht="15" customHeight="1" x14ac:dyDescent="0.25">
      <c r="A5" s="43" t="s">
        <v>4</v>
      </c>
      <c r="B5" s="85"/>
      <c r="C5" s="85"/>
      <c r="D5" s="85"/>
      <c r="E5" s="85"/>
      <c r="F5" s="85"/>
      <c r="G5" s="85"/>
      <c r="I5" s="61">
        <f>Início_do_projeto-WEEKDAY(Início_do_projeto,1)+2+7*(Semana_de_exibição-1)</f>
        <v>44620</v>
      </c>
      <c r="J5" s="62">
        <f>I5+1</f>
        <v>44621</v>
      </c>
      <c r="K5" s="62">
        <f t="shared" ref="K5:AX5" si="0">J5+1</f>
        <v>44622</v>
      </c>
      <c r="L5" s="62">
        <f t="shared" si="0"/>
        <v>44623</v>
      </c>
      <c r="M5" s="62">
        <f t="shared" si="0"/>
        <v>44624</v>
      </c>
      <c r="N5" s="62">
        <f t="shared" si="0"/>
        <v>44625</v>
      </c>
      <c r="O5" s="63">
        <f t="shared" si="0"/>
        <v>44626</v>
      </c>
      <c r="P5" s="61">
        <f>O5+1</f>
        <v>44627</v>
      </c>
      <c r="Q5" s="62">
        <f>P5+1</f>
        <v>44628</v>
      </c>
      <c r="R5" s="62">
        <f t="shared" si="0"/>
        <v>44629</v>
      </c>
      <c r="S5" s="62">
        <f t="shared" si="0"/>
        <v>44630</v>
      </c>
      <c r="T5" s="62">
        <f t="shared" si="0"/>
        <v>44631</v>
      </c>
      <c r="U5" s="62">
        <f t="shared" si="0"/>
        <v>44632</v>
      </c>
      <c r="V5" s="63">
        <f t="shared" si="0"/>
        <v>44633</v>
      </c>
      <c r="W5" s="61">
        <f>V5+1</f>
        <v>44634</v>
      </c>
      <c r="X5" s="62">
        <f>W5+1</f>
        <v>44635</v>
      </c>
      <c r="Y5" s="62">
        <f t="shared" si="0"/>
        <v>44636</v>
      </c>
      <c r="Z5" s="62">
        <f t="shared" si="0"/>
        <v>44637</v>
      </c>
      <c r="AA5" s="62">
        <f t="shared" si="0"/>
        <v>44638</v>
      </c>
      <c r="AB5" s="62">
        <f t="shared" si="0"/>
        <v>44639</v>
      </c>
      <c r="AC5" s="63">
        <f t="shared" si="0"/>
        <v>44640</v>
      </c>
      <c r="AD5" s="61">
        <f>AC5+1</f>
        <v>44641</v>
      </c>
      <c r="AE5" s="62">
        <f>AD5+1</f>
        <v>44642</v>
      </c>
      <c r="AF5" s="62">
        <f t="shared" si="0"/>
        <v>44643</v>
      </c>
      <c r="AG5" s="62">
        <f t="shared" si="0"/>
        <v>44644</v>
      </c>
      <c r="AH5" s="62">
        <f t="shared" si="0"/>
        <v>44645</v>
      </c>
      <c r="AI5" s="62">
        <f t="shared" si="0"/>
        <v>44646</v>
      </c>
      <c r="AJ5" s="63">
        <f t="shared" si="0"/>
        <v>44647</v>
      </c>
      <c r="AK5" s="61">
        <f>AJ5+1</f>
        <v>44648</v>
      </c>
      <c r="AL5" s="62">
        <f>AK5+1</f>
        <v>44649</v>
      </c>
      <c r="AM5" s="62">
        <f t="shared" si="0"/>
        <v>44650</v>
      </c>
      <c r="AN5" s="62">
        <f t="shared" si="0"/>
        <v>44651</v>
      </c>
      <c r="AO5" s="62">
        <f t="shared" si="0"/>
        <v>44652</v>
      </c>
      <c r="AP5" s="62">
        <f t="shared" si="0"/>
        <v>44653</v>
      </c>
      <c r="AQ5" s="63">
        <f t="shared" si="0"/>
        <v>44654</v>
      </c>
      <c r="AR5" s="61">
        <f>AQ5+1</f>
        <v>44655</v>
      </c>
      <c r="AS5" s="62">
        <f>AR5+1</f>
        <v>44656</v>
      </c>
      <c r="AT5" s="62">
        <f t="shared" si="0"/>
        <v>44657</v>
      </c>
      <c r="AU5" s="62">
        <f t="shared" si="0"/>
        <v>44658</v>
      </c>
      <c r="AV5" s="62">
        <f t="shared" si="0"/>
        <v>44659</v>
      </c>
      <c r="AW5" s="62">
        <f t="shared" si="0"/>
        <v>44660</v>
      </c>
      <c r="AX5" s="63">
        <f t="shared" si="0"/>
        <v>44661</v>
      </c>
      <c r="AY5" s="61">
        <f>AX5+1</f>
        <v>44662</v>
      </c>
      <c r="AZ5" s="62">
        <f>AY5+1</f>
        <v>44663</v>
      </c>
      <c r="BA5" s="62">
        <f t="shared" ref="BA5:BE5" si="1">AZ5+1</f>
        <v>44664</v>
      </c>
      <c r="BB5" s="62">
        <f t="shared" si="1"/>
        <v>44665</v>
      </c>
      <c r="BC5" s="62">
        <f t="shared" si="1"/>
        <v>44666</v>
      </c>
      <c r="BD5" s="62">
        <f t="shared" si="1"/>
        <v>44667</v>
      </c>
      <c r="BE5" s="63">
        <f t="shared" si="1"/>
        <v>44668</v>
      </c>
      <c r="BF5" s="61">
        <f>BE5+1</f>
        <v>44669</v>
      </c>
      <c r="BG5" s="62">
        <f>BF5+1</f>
        <v>44670</v>
      </c>
      <c r="BH5" s="62">
        <f t="shared" ref="BH5:BL5" si="2">BG5+1</f>
        <v>44671</v>
      </c>
      <c r="BI5" s="62">
        <f t="shared" si="2"/>
        <v>44672</v>
      </c>
      <c r="BJ5" s="62">
        <f t="shared" si="2"/>
        <v>44673</v>
      </c>
      <c r="BK5" s="62">
        <f t="shared" si="2"/>
        <v>44674</v>
      </c>
      <c r="BL5" s="63">
        <f t="shared" si="2"/>
        <v>44675</v>
      </c>
    </row>
    <row r="6" spans="1:64" ht="30" customHeight="1" thickBot="1" x14ac:dyDescent="0.3">
      <c r="A6" s="43" t="s">
        <v>5</v>
      </c>
      <c r="B6" s="8" t="s">
        <v>13</v>
      </c>
      <c r="C6" s="9" t="s">
        <v>23</v>
      </c>
      <c r="D6" s="9" t="s">
        <v>24</v>
      </c>
      <c r="E6" s="9" t="s">
        <v>25</v>
      </c>
      <c r="F6" s="9" t="s">
        <v>27</v>
      </c>
      <c r="G6" s="9"/>
      <c r="H6" s="9" t="s">
        <v>28</v>
      </c>
      <c r="I6" s="10" t="str">
        <f t="shared" ref="I6" si="3">LEFT(TEXT(I5,"ddd"),1)</f>
        <v>s</v>
      </c>
      <c r="J6" s="10" t="str">
        <f t="shared" ref="J6:AR6" si="4">LEFT(TEXT(J5,"ddd"),1)</f>
        <v>t</v>
      </c>
      <c r="K6" s="10" t="str">
        <f t="shared" si="4"/>
        <v>q</v>
      </c>
      <c r="L6" s="10" t="str">
        <f t="shared" si="4"/>
        <v>q</v>
      </c>
      <c r="M6" s="10" t="str">
        <f t="shared" si="4"/>
        <v>s</v>
      </c>
      <c r="N6" s="10" t="str">
        <f t="shared" si="4"/>
        <v>s</v>
      </c>
      <c r="O6" s="10" t="str">
        <f t="shared" si="4"/>
        <v>d</v>
      </c>
      <c r="P6" s="10" t="str">
        <f t="shared" si="4"/>
        <v>s</v>
      </c>
      <c r="Q6" s="10" t="str">
        <f t="shared" si="4"/>
        <v>t</v>
      </c>
      <c r="R6" s="10" t="str">
        <f t="shared" si="4"/>
        <v>q</v>
      </c>
      <c r="S6" s="10" t="str">
        <f t="shared" si="4"/>
        <v>q</v>
      </c>
      <c r="T6" s="10" t="str">
        <f t="shared" si="4"/>
        <v>s</v>
      </c>
      <c r="U6" s="10" t="str">
        <f t="shared" si="4"/>
        <v>s</v>
      </c>
      <c r="V6" s="10" t="str">
        <f t="shared" si="4"/>
        <v>d</v>
      </c>
      <c r="W6" s="10" t="str">
        <f t="shared" si="4"/>
        <v>s</v>
      </c>
      <c r="X6" s="10" t="str">
        <f t="shared" si="4"/>
        <v>t</v>
      </c>
      <c r="Y6" s="10" t="str">
        <f t="shared" si="4"/>
        <v>q</v>
      </c>
      <c r="Z6" s="10" t="str">
        <f t="shared" si="4"/>
        <v>q</v>
      </c>
      <c r="AA6" s="10" t="str">
        <f t="shared" si="4"/>
        <v>s</v>
      </c>
      <c r="AB6" s="10" t="str">
        <f t="shared" si="4"/>
        <v>s</v>
      </c>
      <c r="AC6" s="10" t="str">
        <f t="shared" si="4"/>
        <v>d</v>
      </c>
      <c r="AD6" s="10" t="str">
        <f t="shared" si="4"/>
        <v>s</v>
      </c>
      <c r="AE6" s="10" t="str">
        <f t="shared" si="4"/>
        <v>t</v>
      </c>
      <c r="AF6" s="10" t="str">
        <f t="shared" si="4"/>
        <v>q</v>
      </c>
      <c r="AG6" s="10" t="str">
        <f t="shared" si="4"/>
        <v>q</v>
      </c>
      <c r="AH6" s="10" t="str">
        <f t="shared" si="4"/>
        <v>s</v>
      </c>
      <c r="AI6" s="10" t="str">
        <f t="shared" si="4"/>
        <v>s</v>
      </c>
      <c r="AJ6" s="10" t="str">
        <f t="shared" si="4"/>
        <v>d</v>
      </c>
      <c r="AK6" s="10" t="str">
        <f t="shared" si="4"/>
        <v>s</v>
      </c>
      <c r="AL6" s="10" t="str">
        <f t="shared" si="4"/>
        <v>t</v>
      </c>
      <c r="AM6" s="10" t="str">
        <f t="shared" si="4"/>
        <v>q</v>
      </c>
      <c r="AN6" s="10" t="str">
        <f t="shared" si="4"/>
        <v>q</v>
      </c>
      <c r="AO6" s="10" t="str">
        <f t="shared" si="4"/>
        <v>s</v>
      </c>
      <c r="AP6" s="10" t="str">
        <f t="shared" si="4"/>
        <v>s</v>
      </c>
      <c r="AQ6" s="10" t="str">
        <f t="shared" si="4"/>
        <v>d</v>
      </c>
      <c r="AR6" s="10" t="str">
        <f t="shared" si="4"/>
        <v>s</v>
      </c>
      <c r="AS6" s="10" t="str">
        <f t="shared" ref="AS6:BL6" si="5">LEFT(TEXT(AS5,"ddd"),1)</f>
        <v>t</v>
      </c>
      <c r="AT6" s="10" t="str">
        <f t="shared" si="5"/>
        <v>q</v>
      </c>
      <c r="AU6" s="10" t="str">
        <f t="shared" si="5"/>
        <v>q</v>
      </c>
      <c r="AV6" s="10" t="str">
        <f t="shared" si="5"/>
        <v>s</v>
      </c>
      <c r="AW6" s="10" t="str">
        <f t="shared" si="5"/>
        <v>s</v>
      </c>
      <c r="AX6" s="10" t="str">
        <f t="shared" si="5"/>
        <v>d</v>
      </c>
      <c r="AY6" s="10" t="str">
        <f t="shared" si="5"/>
        <v>s</v>
      </c>
      <c r="AZ6" s="10" t="str">
        <f t="shared" si="5"/>
        <v>t</v>
      </c>
      <c r="BA6" s="10" t="str">
        <f t="shared" si="5"/>
        <v>q</v>
      </c>
      <c r="BB6" s="10" t="str">
        <f t="shared" si="5"/>
        <v>q</v>
      </c>
      <c r="BC6" s="10" t="str">
        <f t="shared" si="5"/>
        <v>s</v>
      </c>
      <c r="BD6" s="10" t="str">
        <f t="shared" si="5"/>
        <v>s</v>
      </c>
      <c r="BE6" s="10" t="str">
        <f t="shared" si="5"/>
        <v>d</v>
      </c>
      <c r="BF6" s="10" t="str">
        <f t="shared" si="5"/>
        <v>s</v>
      </c>
      <c r="BG6" s="10" t="str">
        <f t="shared" si="5"/>
        <v>t</v>
      </c>
      <c r="BH6" s="10" t="str">
        <f t="shared" si="5"/>
        <v>q</v>
      </c>
      <c r="BI6" s="10" t="str">
        <f t="shared" si="5"/>
        <v>q</v>
      </c>
      <c r="BJ6" s="10" t="str">
        <f t="shared" si="5"/>
        <v>s</v>
      </c>
      <c r="BK6" s="10" t="str">
        <f t="shared" si="5"/>
        <v>s</v>
      </c>
      <c r="BL6" s="10" t="str">
        <f t="shared" si="5"/>
        <v>d</v>
      </c>
    </row>
    <row r="7" spans="1:64" ht="30" hidden="1" customHeight="1" thickBot="1" x14ac:dyDescent="0.3">
      <c r="A7" s="42" t="s">
        <v>6</v>
      </c>
      <c r="C7" s="46"/>
      <c r="E7"/>
      <c r="H7" t="str">
        <f t="shared" ref="H7:H36" si="6">IF(OR(ISBLANK(Início_do_projeto),ISBLANK(término_da_tarefa)),"",término_da_tarefa-Início_do_projeto+1)</f>
        <v/>
      </c>
      <c r="I7" s="30"/>
      <c r="J7" s="30"/>
      <c r="K7" s="30"/>
      <c r="L7" s="30"/>
      <c r="M7" s="30"/>
      <c r="N7" s="30"/>
      <c r="O7" s="30"/>
      <c r="P7" s="30"/>
      <c r="Q7" s="30"/>
      <c r="R7" s="30"/>
      <c r="S7" s="30"/>
      <c r="T7" s="30"/>
      <c r="U7" s="30"/>
      <c r="V7" s="30"/>
      <c r="W7" s="30"/>
      <c r="X7" s="30"/>
      <c r="Y7" s="30"/>
      <c r="Z7" s="30"/>
      <c r="AA7" s="30"/>
      <c r="AB7" s="30"/>
      <c r="AC7" s="30"/>
      <c r="AD7" s="30"/>
      <c r="AE7" s="30"/>
      <c r="AF7" s="30"/>
      <c r="AG7" s="30"/>
      <c r="AH7" s="30"/>
      <c r="AI7" s="30"/>
      <c r="AJ7" s="30"/>
      <c r="AK7" s="30"/>
      <c r="AL7" s="30"/>
      <c r="AM7" s="30"/>
      <c r="AN7" s="30"/>
      <c r="AO7" s="30"/>
      <c r="AP7" s="30"/>
      <c r="AQ7" s="30"/>
      <c r="AR7" s="30"/>
      <c r="AS7" s="30"/>
      <c r="AT7" s="30"/>
      <c r="AU7" s="30"/>
      <c r="AV7" s="30"/>
      <c r="AW7" s="30"/>
      <c r="AX7" s="30"/>
      <c r="AY7" s="30"/>
      <c r="AZ7" s="30"/>
      <c r="BA7" s="30"/>
      <c r="BB7" s="30"/>
      <c r="BC7" s="30"/>
      <c r="BD7" s="30"/>
      <c r="BE7" s="30"/>
      <c r="BF7" s="30"/>
      <c r="BG7" s="30"/>
      <c r="BH7" s="30"/>
      <c r="BI7" s="30"/>
      <c r="BJ7" s="30"/>
      <c r="BK7" s="30"/>
      <c r="BL7" s="30"/>
    </row>
    <row r="8" spans="1:64" s="3" customFormat="1" ht="30" customHeight="1" thickBot="1" x14ac:dyDescent="0.3">
      <c r="A8" s="43" t="s">
        <v>7</v>
      </c>
      <c r="B8" s="15" t="s">
        <v>48</v>
      </c>
      <c r="C8" s="49"/>
      <c r="D8" s="16"/>
      <c r="E8" s="68"/>
      <c r="F8" s="69"/>
      <c r="G8" s="14"/>
      <c r="H8" s="14" t="str">
        <f t="shared" si="6"/>
        <v/>
      </c>
      <c r="I8" s="30"/>
      <c r="J8" s="30"/>
      <c r="K8" s="30"/>
      <c r="L8" s="30"/>
      <c r="M8" s="30"/>
      <c r="N8" s="30"/>
      <c r="O8" s="30"/>
      <c r="P8" s="30"/>
      <c r="Q8" s="30"/>
      <c r="R8" s="30"/>
      <c r="S8" s="30"/>
      <c r="T8" s="30"/>
      <c r="U8" s="30"/>
      <c r="V8" s="30"/>
      <c r="W8" s="30"/>
      <c r="X8" s="30"/>
      <c r="Y8" s="30"/>
      <c r="Z8" s="30"/>
      <c r="AA8" s="30"/>
      <c r="AB8" s="30"/>
      <c r="AC8" s="30"/>
      <c r="AD8" s="30"/>
      <c r="AE8" s="30"/>
      <c r="AF8" s="30"/>
      <c r="AG8" s="30"/>
      <c r="AH8" s="30"/>
      <c r="AI8" s="30"/>
      <c r="AJ8" s="30"/>
      <c r="AK8" s="30"/>
      <c r="AL8" s="30"/>
      <c r="AM8" s="30"/>
      <c r="AN8" s="30"/>
      <c r="AO8" s="30"/>
      <c r="AP8" s="30"/>
      <c r="AQ8" s="30"/>
      <c r="AR8" s="30"/>
      <c r="AS8" s="30"/>
      <c r="AT8" s="30"/>
      <c r="AU8" s="30"/>
      <c r="AV8" s="30"/>
      <c r="AW8" s="30"/>
      <c r="AX8" s="30"/>
      <c r="AY8" s="30"/>
      <c r="AZ8" s="30"/>
      <c r="BA8" s="30"/>
      <c r="BB8" s="30"/>
      <c r="BC8" s="30"/>
      <c r="BD8" s="30"/>
      <c r="BE8" s="30"/>
      <c r="BF8" s="30"/>
      <c r="BG8" s="30"/>
      <c r="BH8" s="30"/>
      <c r="BI8" s="30"/>
      <c r="BJ8" s="30"/>
      <c r="BK8" s="30"/>
      <c r="BL8" s="30"/>
    </row>
    <row r="9" spans="1:64" s="3" customFormat="1" ht="30" customHeight="1" thickBot="1" x14ac:dyDescent="0.3">
      <c r="A9" s="43" t="s">
        <v>8</v>
      </c>
      <c r="B9" s="87" t="s">
        <v>49</v>
      </c>
      <c r="C9" s="88" t="s">
        <v>50</v>
      </c>
      <c r="D9" s="17">
        <v>1</v>
      </c>
      <c r="E9" s="64">
        <f>Início_do_projeto</f>
        <v>44592</v>
      </c>
      <c r="F9" s="64">
        <f>E9+14</f>
        <v>44606</v>
      </c>
      <c r="G9" s="14"/>
      <c r="H9" s="14">
        <f t="shared" si="6"/>
        <v>15</v>
      </c>
      <c r="I9" s="30"/>
      <c r="J9" s="30"/>
      <c r="K9" s="30"/>
      <c r="L9" s="30"/>
      <c r="M9" s="30"/>
      <c r="N9" s="30"/>
      <c r="O9" s="30"/>
      <c r="P9" s="30"/>
      <c r="Q9" s="30"/>
      <c r="R9" s="30"/>
      <c r="S9" s="30"/>
      <c r="T9" s="30"/>
      <c r="U9" s="30"/>
      <c r="V9" s="30"/>
      <c r="W9" s="30"/>
      <c r="X9" s="30"/>
      <c r="Y9" s="30"/>
      <c r="Z9" s="30"/>
      <c r="AA9" s="30"/>
      <c r="AB9" s="30"/>
      <c r="AC9" s="30"/>
      <c r="AD9" s="30"/>
      <c r="AE9" s="30"/>
      <c r="AF9" s="30"/>
      <c r="AG9" s="30"/>
      <c r="AH9" s="30"/>
      <c r="AI9" s="30"/>
      <c r="AJ9" s="30"/>
      <c r="AK9" s="30"/>
      <c r="AL9" s="30"/>
      <c r="AM9" s="30"/>
      <c r="AN9" s="30"/>
      <c r="AO9" s="30"/>
      <c r="AP9" s="30"/>
      <c r="AQ9" s="30"/>
      <c r="AR9" s="30"/>
      <c r="AS9" s="30"/>
      <c r="AT9" s="30"/>
      <c r="AU9" s="30"/>
      <c r="AV9" s="30"/>
      <c r="AW9" s="30"/>
      <c r="AX9" s="30"/>
      <c r="AY9" s="30"/>
      <c r="AZ9" s="30"/>
      <c r="BA9" s="30"/>
      <c r="BB9" s="30"/>
      <c r="BC9" s="30"/>
      <c r="BD9" s="30"/>
      <c r="BE9" s="30"/>
      <c r="BF9" s="30"/>
      <c r="BG9" s="30"/>
      <c r="BH9" s="30"/>
      <c r="BI9" s="30"/>
      <c r="BJ9" s="30"/>
      <c r="BK9" s="30"/>
      <c r="BL9" s="30"/>
    </row>
    <row r="10" spans="1:64" s="3" customFormat="1" ht="30" customHeight="1" thickBot="1" x14ac:dyDescent="0.3">
      <c r="A10" s="43" t="s">
        <v>9</v>
      </c>
      <c r="B10" s="87" t="s">
        <v>51</v>
      </c>
      <c r="C10" s="88" t="s">
        <v>50</v>
      </c>
      <c r="D10" s="17">
        <v>1</v>
      </c>
      <c r="E10" s="64">
        <f>F9</f>
        <v>44606</v>
      </c>
      <c r="F10" s="64">
        <f>E10+1</f>
        <v>44607</v>
      </c>
      <c r="G10" s="14"/>
      <c r="H10" s="14">
        <f t="shared" si="6"/>
        <v>16</v>
      </c>
      <c r="I10" s="30"/>
      <c r="J10" s="30"/>
      <c r="K10" s="30"/>
      <c r="L10" s="30"/>
      <c r="M10" s="30"/>
      <c r="N10" s="30"/>
      <c r="O10" s="30"/>
      <c r="P10" s="30"/>
      <c r="Q10" s="30"/>
      <c r="R10" s="30"/>
      <c r="S10" s="30"/>
      <c r="T10" s="30"/>
      <c r="U10" s="31"/>
      <c r="V10" s="31"/>
      <c r="W10" s="30"/>
      <c r="X10" s="30"/>
      <c r="Y10" s="30"/>
      <c r="Z10" s="30"/>
      <c r="AA10" s="30"/>
      <c r="AB10" s="30"/>
      <c r="AC10" s="30"/>
      <c r="AD10" s="30"/>
      <c r="AE10" s="30"/>
      <c r="AF10" s="30"/>
      <c r="AG10" s="30"/>
      <c r="AH10" s="30"/>
      <c r="AI10" s="30"/>
      <c r="AJ10" s="30"/>
      <c r="AK10" s="30"/>
      <c r="AL10" s="30"/>
      <c r="AM10" s="30"/>
      <c r="AN10" s="30"/>
      <c r="AO10" s="30"/>
      <c r="AP10" s="30"/>
      <c r="AQ10" s="30"/>
      <c r="AR10" s="30"/>
      <c r="AS10" s="30"/>
      <c r="AT10" s="30"/>
      <c r="AU10" s="30"/>
      <c r="AV10" s="30"/>
      <c r="AW10" s="30"/>
      <c r="AX10" s="30"/>
      <c r="AY10" s="30"/>
      <c r="AZ10" s="30"/>
      <c r="BA10" s="30"/>
      <c r="BB10" s="30"/>
      <c r="BC10" s="30"/>
      <c r="BD10" s="30"/>
      <c r="BE10" s="30"/>
      <c r="BF10" s="30"/>
      <c r="BG10" s="30"/>
      <c r="BH10" s="30"/>
      <c r="BI10" s="30"/>
      <c r="BJ10" s="30"/>
      <c r="BK10" s="30"/>
      <c r="BL10" s="30"/>
    </row>
    <row r="11" spans="1:64" s="3" customFormat="1" ht="30" customHeight="1" thickBot="1" x14ac:dyDescent="0.3">
      <c r="A11" s="42"/>
      <c r="B11" s="87" t="s">
        <v>52</v>
      </c>
      <c r="C11" s="88" t="s">
        <v>50</v>
      </c>
      <c r="D11" s="17">
        <v>1</v>
      </c>
      <c r="E11" s="64">
        <f>F10</f>
        <v>44607</v>
      </c>
      <c r="F11" s="64">
        <f>E11+6</f>
        <v>44613</v>
      </c>
      <c r="G11" s="14"/>
      <c r="H11" s="14">
        <f t="shared" si="6"/>
        <v>22</v>
      </c>
      <c r="I11" s="30"/>
      <c r="J11" s="30"/>
      <c r="K11" s="30"/>
      <c r="L11" s="30"/>
      <c r="M11" s="30"/>
      <c r="N11" s="30"/>
      <c r="O11" s="30"/>
      <c r="P11" s="30"/>
      <c r="Q11" s="30"/>
      <c r="R11" s="30"/>
      <c r="S11" s="30"/>
      <c r="T11" s="30"/>
      <c r="U11" s="30"/>
      <c r="V11" s="30"/>
      <c r="W11" s="30"/>
      <c r="X11" s="30"/>
      <c r="Y11" s="30"/>
      <c r="Z11" s="30"/>
      <c r="AA11" s="30"/>
      <c r="AB11" s="30"/>
      <c r="AC11" s="30"/>
      <c r="AD11" s="30"/>
      <c r="AE11" s="30"/>
      <c r="AF11" s="30"/>
      <c r="AG11" s="30"/>
      <c r="AH11" s="30"/>
      <c r="AI11" s="30"/>
      <c r="AJ11" s="30"/>
      <c r="AK11" s="30"/>
      <c r="AL11" s="30"/>
      <c r="AM11" s="30"/>
      <c r="AN11" s="30"/>
      <c r="AO11" s="30"/>
      <c r="AP11" s="30"/>
      <c r="AQ11" s="30"/>
      <c r="AR11" s="30"/>
      <c r="AS11" s="30"/>
      <c r="AT11" s="30"/>
      <c r="AU11" s="30"/>
      <c r="AV11" s="30"/>
      <c r="AW11" s="30"/>
      <c r="AX11" s="30"/>
      <c r="AY11" s="30"/>
      <c r="AZ11" s="30"/>
      <c r="BA11" s="30"/>
      <c r="BB11" s="30"/>
      <c r="BC11" s="30"/>
      <c r="BD11" s="30"/>
      <c r="BE11" s="30"/>
      <c r="BF11" s="30"/>
      <c r="BG11" s="30"/>
      <c r="BH11" s="30"/>
      <c r="BI11" s="30"/>
      <c r="BJ11" s="30"/>
      <c r="BK11" s="30"/>
      <c r="BL11" s="30"/>
    </row>
    <row r="12" spans="1:64" s="3" customFormat="1" ht="30" customHeight="1" thickBot="1" x14ac:dyDescent="0.3">
      <c r="A12" s="42"/>
      <c r="B12" s="87" t="s">
        <v>53</v>
      </c>
      <c r="C12" s="88" t="s">
        <v>50</v>
      </c>
      <c r="D12" s="17">
        <v>1</v>
      </c>
      <c r="E12" s="64">
        <f>F11</f>
        <v>44613</v>
      </c>
      <c r="F12" s="64">
        <f>E12+3</f>
        <v>44616</v>
      </c>
      <c r="G12" s="14"/>
      <c r="H12" s="14">
        <f t="shared" si="6"/>
        <v>25</v>
      </c>
      <c r="I12" s="30"/>
      <c r="J12" s="30"/>
      <c r="K12" s="30"/>
      <c r="L12" s="30"/>
      <c r="M12" s="30"/>
      <c r="N12" s="30"/>
      <c r="O12" s="30"/>
      <c r="P12" s="30"/>
      <c r="Q12" s="30"/>
      <c r="R12" s="30"/>
      <c r="S12" s="30"/>
      <c r="T12" s="30"/>
      <c r="U12" s="30"/>
      <c r="V12" s="30"/>
      <c r="W12" s="30"/>
      <c r="X12" s="30"/>
      <c r="Y12" s="31"/>
      <c r="Z12" s="30"/>
      <c r="AA12" s="30"/>
      <c r="AB12" s="30"/>
      <c r="AC12" s="30"/>
      <c r="AD12" s="30"/>
      <c r="AE12" s="30"/>
      <c r="AF12" s="30"/>
      <c r="AG12" s="30"/>
      <c r="AH12" s="30"/>
      <c r="AI12" s="30"/>
      <c r="AJ12" s="30"/>
      <c r="AK12" s="30"/>
      <c r="AL12" s="30"/>
      <c r="AM12" s="30"/>
      <c r="AN12" s="30"/>
      <c r="AO12" s="30"/>
      <c r="AP12" s="30"/>
      <c r="AQ12" s="30"/>
      <c r="AR12" s="30"/>
      <c r="AS12" s="30"/>
      <c r="AT12" s="30"/>
      <c r="AU12" s="30"/>
      <c r="AV12" s="30"/>
      <c r="AW12" s="30"/>
      <c r="AX12" s="30"/>
      <c r="AY12" s="30"/>
      <c r="AZ12" s="30"/>
      <c r="BA12" s="30"/>
      <c r="BB12" s="30"/>
      <c r="BC12" s="30"/>
      <c r="BD12" s="30"/>
      <c r="BE12" s="30"/>
      <c r="BF12" s="30"/>
      <c r="BG12" s="30"/>
      <c r="BH12" s="30"/>
      <c r="BI12" s="30"/>
      <c r="BJ12" s="30"/>
      <c r="BK12" s="30"/>
      <c r="BL12" s="30"/>
    </row>
    <row r="13" spans="1:64" s="3" customFormat="1" ht="30" customHeight="1" thickBot="1" x14ac:dyDescent="0.3">
      <c r="A13" s="42"/>
      <c r="B13" s="87" t="s">
        <v>54</v>
      </c>
      <c r="C13" s="88" t="s">
        <v>50</v>
      </c>
      <c r="D13" s="17">
        <v>1</v>
      </c>
      <c r="E13" s="64">
        <f>F12</f>
        <v>44616</v>
      </c>
      <c r="F13" s="64">
        <f>E13+7</f>
        <v>44623</v>
      </c>
      <c r="G13" s="14"/>
      <c r="H13" s="14">
        <f t="shared" si="6"/>
        <v>32</v>
      </c>
      <c r="I13" s="30"/>
      <c r="J13" s="30"/>
      <c r="K13" s="30"/>
      <c r="L13" s="30"/>
      <c r="M13" s="30"/>
      <c r="N13" s="30"/>
      <c r="O13" s="30"/>
      <c r="P13" s="30"/>
      <c r="Q13" s="30"/>
      <c r="R13" s="30"/>
      <c r="S13" s="30"/>
      <c r="T13" s="30"/>
      <c r="U13" s="30"/>
      <c r="V13" s="30"/>
      <c r="W13" s="30"/>
      <c r="X13" s="30"/>
      <c r="Y13" s="30"/>
      <c r="Z13" s="30"/>
      <c r="AA13" s="30"/>
      <c r="AB13" s="30"/>
      <c r="AC13" s="30"/>
      <c r="AD13" s="30"/>
      <c r="AE13" s="30"/>
      <c r="AF13" s="30"/>
      <c r="AG13" s="30"/>
      <c r="AH13" s="30"/>
      <c r="AI13" s="30"/>
      <c r="AJ13" s="30"/>
      <c r="AK13" s="30"/>
      <c r="AL13" s="30"/>
      <c r="AM13" s="30"/>
      <c r="AN13" s="30"/>
      <c r="AO13" s="30"/>
      <c r="AP13" s="30"/>
      <c r="AQ13" s="30"/>
      <c r="AR13" s="30"/>
      <c r="AS13" s="30"/>
      <c r="AT13" s="30"/>
      <c r="AU13" s="30"/>
      <c r="AV13" s="30"/>
      <c r="AW13" s="30"/>
      <c r="AX13" s="30"/>
      <c r="AY13" s="30"/>
      <c r="AZ13" s="30"/>
      <c r="BA13" s="30"/>
      <c r="BB13" s="30"/>
      <c r="BC13" s="30"/>
      <c r="BD13" s="30"/>
      <c r="BE13" s="30"/>
      <c r="BF13" s="30"/>
      <c r="BG13" s="30"/>
      <c r="BH13" s="30"/>
      <c r="BI13" s="30"/>
      <c r="BJ13" s="30"/>
      <c r="BK13" s="30"/>
      <c r="BL13" s="30"/>
    </row>
    <row r="14" spans="1:64" s="3" customFormat="1" ht="30" customHeight="1" thickBot="1" x14ac:dyDescent="0.3">
      <c r="A14" s="42"/>
      <c r="B14" s="87" t="s">
        <v>55</v>
      </c>
      <c r="C14" s="88" t="s">
        <v>50</v>
      </c>
      <c r="D14" s="17">
        <v>0.5</v>
      </c>
      <c r="E14" s="64">
        <f>F13</f>
        <v>44623</v>
      </c>
      <c r="F14" s="64">
        <f>E14+1</f>
        <v>44624</v>
      </c>
      <c r="G14" s="14"/>
      <c r="H14" s="14"/>
      <c r="I14" s="30"/>
      <c r="J14" s="30"/>
      <c r="K14" s="30"/>
      <c r="L14" s="30"/>
      <c r="M14" s="30"/>
      <c r="N14" s="30"/>
      <c r="O14" s="30"/>
      <c r="P14" s="30"/>
      <c r="Q14" s="30"/>
      <c r="R14" s="30"/>
      <c r="S14" s="30"/>
      <c r="T14" s="30"/>
      <c r="U14" s="30"/>
      <c r="V14" s="30"/>
      <c r="W14" s="30"/>
      <c r="X14" s="30"/>
      <c r="Y14" s="30"/>
      <c r="Z14" s="30"/>
      <c r="AA14" s="30"/>
      <c r="AB14" s="30"/>
      <c r="AC14" s="30"/>
      <c r="AD14" s="30"/>
      <c r="AE14" s="30"/>
      <c r="AF14" s="30"/>
      <c r="AG14" s="30"/>
      <c r="AH14" s="30"/>
      <c r="AI14" s="30"/>
      <c r="AJ14" s="30"/>
      <c r="AK14" s="30"/>
      <c r="AL14" s="30"/>
      <c r="AM14" s="30"/>
      <c r="AN14" s="30"/>
      <c r="AO14" s="30"/>
      <c r="AP14" s="30"/>
      <c r="AQ14" s="30"/>
      <c r="AR14" s="30"/>
      <c r="AS14" s="30"/>
      <c r="AT14" s="30"/>
      <c r="AU14" s="30"/>
      <c r="AV14" s="30"/>
      <c r="AW14" s="30"/>
      <c r="AX14" s="30"/>
      <c r="AY14" s="30"/>
      <c r="AZ14" s="30"/>
      <c r="BA14" s="30"/>
      <c r="BB14" s="30"/>
      <c r="BC14" s="30"/>
      <c r="BD14" s="30"/>
      <c r="BE14" s="30"/>
      <c r="BF14" s="30"/>
      <c r="BG14" s="30"/>
      <c r="BH14" s="30"/>
      <c r="BI14" s="30"/>
      <c r="BJ14" s="30"/>
      <c r="BK14" s="30"/>
      <c r="BL14" s="30"/>
    </row>
    <row r="15" spans="1:64" s="3" customFormat="1" ht="30" customHeight="1" thickBot="1" x14ac:dyDescent="0.3">
      <c r="A15" s="43" t="s">
        <v>10</v>
      </c>
      <c r="B15" s="18" t="s">
        <v>56</v>
      </c>
      <c r="C15" s="50"/>
      <c r="D15" s="19"/>
      <c r="E15" s="70"/>
      <c r="F15" s="71"/>
      <c r="G15" s="14"/>
      <c r="H15" s="14" t="str">
        <f t="shared" si="6"/>
        <v/>
      </c>
      <c r="I15" s="30"/>
      <c r="J15" s="30"/>
      <c r="K15" s="30"/>
      <c r="L15" s="30"/>
      <c r="M15" s="30"/>
      <c r="N15" s="30"/>
      <c r="O15" s="30"/>
      <c r="P15" s="30"/>
      <c r="Q15" s="30"/>
      <c r="R15" s="30"/>
      <c r="S15" s="30"/>
      <c r="T15" s="30"/>
      <c r="U15" s="30"/>
      <c r="V15" s="30"/>
      <c r="W15" s="30"/>
      <c r="X15" s="30"/>
      <c r="Y15" s="30"/>
      <c r="Z15" s="30"/>
      <c r="AA15" s="30"/>
      <c r="AB15" s="30"/>
      <c r="AC15" s="30"/>
      <c r="AD15" s="30"/>
      <c r="AE15" s="30"/>
      <c r="AF15" s="30"/>
      <c r="AG15" s="30"/>
      <c r="AH15" s="30"/>
      <c r="AI15" s="30"/>
      <c r="AJ15" s="30"/>
      <c r="AK15" s="30"/>
      <c r="AL15" s="30"/>
      <c r="AM15" s="30"/>
      <c r="AN15" s="30"/>
      <c r="AO15" s="30"/>
      <c r="AP15" s="30"/>
      <c r="AQ15" s="30"/>
      <c r="AR15" s="30"/>
      <c r="AS15" s="30"/>
      <c r="AT15" s="30"/>
      <c r="AU15" s="30"/>
      <c r="AV15" s="30"/>
      <c r="AW15" s="30"/>
      <c r="AX15" s="30"/>
      <c r="AY15" s="30"/>
      <c r="AZ15" s="30"/>
      <c r="BA15" s="30"/>
      <c r="BB15" s="30"/>
      <c r="BC15" s="30"/>
      <c r="BD15" s="30"/>
      <c r="BE15" s="30"/>
      <c r="BF15" s="30"/>
      <c r="BG15" s="30"/>
      <c r="BH15" s="30"/>
      <c r="BI15" s="30"/>
      <c r="BJ15" s="30"/>
      <c r="BK15" s="30"/>
      <c r="BL15" s="30"/>
    </row>
    <row r="16" spans="1:64" s="3" customFormat="1" ht="30" customHeight="1" thickBot="1" x14ac:dyDescent="0.3">
      <c r="A16" s="43"/>
      <c r="B16" s="89" t="s">
        <v>57</v>
      </c>
      <c r="C16" s="90" t="s">
        <v>50</v>
      </c>
      <c r="D16" s="20">
        <v>0</v>
      </c>
      <c r="E16" s="65">
        <f>F14+3</f>
        <v>44627</v>
      </c>
      <c r="F16" s="65">
        <f>E16+4</f>
        <v>44631</v>
      </c>
      <c r="G16" s="14"/>
      <c r="H16" s="14">
        <f t="shared" si="6"/>
        <v>40</v>
      </c>
      <c r="I16" s="30"/>
      <c r="J16" s="30"/>
      <c r="K16" s="30"/>
      <c r="L16" s="30"/>
      <c r="M16" s="30"/>
      <c r="N16" s="30"/>
      <c r="O16" s="30"/>
      <c r="P16" s="30"/>
      <c r="Q16" s="30"/>
      <c r="R16" s="30"/>
      <c r="S16" s="30"/>
      <c r="T16" s="30"/>
      <c r="U16" s="30"/>
      <c r="V16" s="30"/>
      <c r="W16" s="30"/>
      <c r="X16" s="30"/>
      <c r="Y16" s="30"/>
      <c r="Z16" s="30"/>
      <c r="AA16" s="30"/>
      <c r="AB16" s="30"/>
      <c r="AC16" s="30"/>
      <c r="AD16" s="30"/>
      <c r="AE16" s="30"/>
      <c r="AF16" s="30"/>
      <c r="AG16" s="30"/>
      <c r="AH16" s="30"/>
      <c r="AI16" s="30"/>
      <c r="AJ16" s="30"/>
      <c r="AK16" s="30"/>
      <c r="AL16" s="30"/>
      <c r="AM16" s="30"/>
      <c r="AN16" s="30"/>
      <c r="AO16" s="30"/>
      <c r="AP16" s="30"/>
      <c r="AQ16" s="30"/>
      <c r="AR16" s="30"/>
      <c r="AS16" s="30"/>
      <c r="AT16" s="30"/>
      <c r="AU16" s="30"/>
      <c r="AV16" s="30"/>
      <c r="AW16" s="30"/>
      <c r="AX16" s="30"/>
      <c r="AY16" s="30"/>
      <c r="AZ16" s="30"/>
      <c r="BA16" s="30"/>
      <c r="BB16" s="30"/>
      <c r="BC16" s="30"/>
      <c r="BD16" s="30"/>
      <c r="BE16" s="30"/>
      <c r="BF16" s="30"/>
      <c r="BG16" s="30"/>
      <c r="BH16" s="30"/>
      <c r="BI16" s="30"/>
      <c r="BJ16" s="30"/>
      <c r="BK16" s="30"/>
      <c r="BL16" s="30"/>
    </row>
    <row r="17" spans="1:64" s="3" customFormat="1" ht="30" customHeight="1" thickBot="1" x14ac:dyDescent="0.3">
      <c r="A17" s="42"/>
      <c r="B17" s="89" t="s">
        <v>58</v>
      </c>
      <c r="C17" s="90" t="s">
        <v>50</v>
      </c>
      <c r="D17" s="20">
        <v>0</v>
      </c>
      <c r="E17" s="65">
        <f>F16</f>
        <v>44631</v>
      </c>
      <c r="F17" s="65">
        <f>E17+3</f>
        <v>44634</v>
      </c>
      <c r="G17" s="14"/>
      <c r="H17" s="14">
        <f t="shared" si="6"/>
        <v>43</v>
      </c>
      <c r="I17" s="30"/>
      <c r="J17" s="30"/>
      <c r="K17" s="30"/>
      <c r="L17" s="30"/>
      <c r="M17" s="30"/>
      <c r="N17" s="30"/>
      <c r="O17" s="30"/>
      <c r="P17" s="30"/>
      <c r="Q17" s="30"/>
      <c r="R17" s="30"/>
      <c r="S17" s="30"/>
      <c r="T17" s="30"/>
      <c r="U17" s="31"/>
      <c r="V17" s="31"/>
      <c r="W17" s="30"/>
      <c r="X17" s="30"/>
      <c r="Y17" s="30"/>
      <c r="Z17" s="30"/>
      <c r="AA17" s="30"/>
      <c r="AB17" s="30"/>
      <c r="AC17" s="30"/>
      <c r="AD17" s="30"/>
      <c r="AE17" s="30"/>
      <c r="AF17" s="30"/>
      <c r="AG17" s="30"/>
      <c r="AH17" s="30"/>
      <c r="AI17" s="30"/>
      <c r="AJ17" s="30"/>
      <c r="AK17" s="30"/>
      <c r="AL17" s="30"/>
      <c r="AM17" s="30"/>
      <c r="AN17" s="30"/>
      <c r="AO17" s="30"/>
      <c r="AP17" s="30"/>
      <c r="AQ17" s="30"/>
      <c r="AR17" s="30"/>
      <c r="AS17" s="30"/>
      <c r="AT17" s="30"/>
      <c r="AU17" s="30"/>
      <c r="AV17" s="30"/>
      <c r="AW17" s="30"/>
      <c r="AX17" s="30"/>
      <c r="AY17" s="30"/>
      <c r="AZ17" s="30"/>
      <c r="BA17" s="30"/>
      <c r="BB17" s="30"/>
      <c r="BC17" s="30"/>
      <c r="BD17" s="30"/>
      <c r="BE17" s="30"/>
      <c r="BF17" s="30"/>
      <c r="BG17" s="30"/>
      <c r="BH17" s="30"/>
      <c r="BI17" s="30"/>
      <c r="BJ17" s="30"/>
      <c r="BK17" s="30"/>
      <c r="BL17" s="30"/>
    </row>
    <row r="18" spans="1:64" s="3" customFormat="1" ht="30" customHeight="1" thickBot="1" x14ac:dyDescent="0.3">
      <c r="A18" s="42"/>
      <c r="B18" s="89" t="s">
        <v>59</v>
      </c>
      <c r="C18" s="90" t="s">
        <v>50</v>
      </c>
      <c r="D18" s="20">
        <v>0</v>
      </c>
      <c r="E18" s="65">
        <f>F17</f>
        <v>44634</v>
      </c>
      <c r="F18" s="65">
        <f>E18+7</f>
        <v>44641</v>
      </c>
      <c r="G18" s="14"/>
      <c r="H18" s="14">
        <f t="shared" si="6"/>
        <v>50</v>
      </c>
      <c r="I18" s="30"/>
      <c r="J18" s="30"/>
      <c r="K18" s="30"/>
      <c r="L18" s="30"/>
      <c r="M18" s="30"/>
      <c r="N18" s="30"/>
      <c r="O18" s="30"/>
      <c r="P18" s="30"/>
      <c r="Q18" s="30"/>
      <c r="R18" s="30"/>
      <c r="S18" s="30"/>
      <c r="T18" s="30"/>
      <c r="U18" s="30"/>
      <c r="V18" s="30"/>
      <c r="W18" s="30"/>
      <c r="X18" s="30"/>
      <c r="Y18" s="30"/>
      <c r="Z18" s="30"/>
      <c r="AA18" s="30"/>
      <c r="AB18" s="30"/>
      <c r="AC18" s="30"/>
      <c r="AD18" s="30"/>
      <c r="AE18" s="30"/>
      <c r="AF18" s="30"/>
      <c r="AG18" s="30"/>
      <c r="AH18" s="30"/>
      <c r="AI18" s="30"/>
      <c r="AJ18" s="30"/>
      <c r="AK18" s="30"/>
      <c r="AL18" s="30"/>
      <c r="AM18" s="30"/>
      <c r="AN18" s="30"/>
      <c r="AO18" s="30"/>
      <c r="AP18" s="30"/>
      <c r="AQ18" s="30"/>
      <c r="AR18" s="30"/>
      <c r="AS18" s="30"/>
      <c r="AT18" s="30"/>
      <c r="AU18" s="30"/>
      <c r="AV18" s="30"/>
      <c r="AW18" s="30"/>
      <c r="AX18" s="30"/>
      <c r="AY18" s="30"/>
      <c r="AZ18" s="30"/>
      <c r="BA18" s="30"/>
      <c r="BB18" s="30"/>
      <c r="BC18" s="30"/>
      <c r="BD18" s="30"/>
      <c r="BE18" s="30"/>
      <c r="BF18" s="30"/>
      <c r="BG18" s="30"/>
      <c r="BH18" s="30"/>
      <c r="BI18" s="30"/>
      <c r="BJ18" s="30"/>
      <c r="BK18" s="30"/>
      <c r="BL18" s="30"/>
    </row>
    <row r="19" spans="1:64" s="3" customFormat="1" ht="30" customHeight="1" thickBot="1" x14ac:dyDescent="0.3">
      <c r="A19" s="42"/>
      <c r="B19" s="89" t="s">
        <v>60</v>
      </c>
      <c r="C19" s="90" t="s">
        <v>50</v>
      </c>
      <c r="D19" s="20">
        <v>0</v>
      </c>
      <c r="E19" s="65">
        <f>F18</f>
        <v>44641</v>
      </c>
      <c r="F19" s="65">
        <f>E19+2</f>
        <v>44643</v>
      </c>
      <c r="G19" s="14"/>
      <c r="H19" s="14">
        <f t="shared" si="6"/>
        <v>52</v>
      </c>
      <c r="I19" s="30"/>
      <c r="J19" s="30"/>
      <c r="K19" s="30"/>
      <c r="L19" s="30"/>
      <c r="M19" s="30"/>
      <c r="N19" s="30"/>
      <c r="O19" s="30"/>
      <c r="P19" s="30"/>
      <c r="Q19" s="30"/>
      <c r="R19" s="30"/>
      <c r="S19" s="30"/>
      <c r="T19" s="30"/>
      <c r="U19" s="30"/>
      <c r="V19" s="30"/>
      <c r="W19" s="30"/>
      <c r="X19" s="30"/>
      <c r="Y19" s="31"/>
      <c r="Z19" s="30"/>
      <c r="AA19" s="30"/>
      <c r="AB19" s="30"/>
      <c r="AC19" s="30"/>
      <c r="AD19" s="30"/>
      <c r="AE19" s="30"/>
      <c r="AF19" s="30"/>
      <c r="AG19" s="30"/>
      <c r="AH19" s="30"/>
      <c r="AI19" s="30"/>
      <c r="AJ19" s="30"/>
      <c r="AK19" s="30"/>
      <c r="AL19" s="30"/>
      <c r="AM19" s="30"/>
      <c r="AN19" s="30"/>
      <c r="AO19" s="30"/>
      <c r="AP19" s="30"/>
      <c r="AQ19" s="30"/>
      <c r="AR19" s="30"/>
      <c r="AS19" s="30"/>
      <c r="AT19" s="30"/>
      <c r="AU19" s="30"/>
      <c r="AV19" s="30"/>
      <c r="AW19" s="30"/>
      <c r="AX19" s="30"/>
      <c r="AY19" s="30"/>
      <c r="AZ19" s="30"/>
      <c r="BA19" s="30"/>
      <c r="BB19" s="30"/>
      <c r="BC19" s="30"/>
      <c r="BD19" s="30"/>
      <c r="BE19" s="30"/>
      <c r="BF19" s="30"/>
      <c r="BG19" s="30"/>
      <c r="BH19" s="30"/>
      <c r="BI19" s="30"/>
      <c r="BJ19" s="30"/>
      <c r="BK19" s="30"/>
      <c r="BL19" s="30"/>
    </row>
    <row r="20" spans="1:64" s="3" customFormat="1" ht="30" customHeight="1" thickBot="1" x14ac:dyDescent="0.3">
      <c r="A20" s="42"/>
      <c r="B20" s="89" t="s">
        <v>61</v>
      </c>
      <c r="C20" s="90" t="s">
        <v>50</v>
      </c>
      <c r="D20" s="20">
        <v>0</v>
      </c>
      <c r="E20" s="65">
        <f>F19</f>
        <v>44643</v>
      </c>
      <c r="F20" s="65">
        <f>E20+7</f>
        <v>44650</v>
      </c>
      <c r="G20" s="14"/>
      <c r="H20" s="14">
        <f t="shared" si="6"/>
        <v>59</v>
      </c>
      <c r="I20" s="30"/>
      <c r="J20" s="30"/>
      <c r="K20" s="30"/>
      <c r="L20" s="30"/>
      <c r="M20" s="30"/>
      <c r="N20" s="30"/>
      <c r="O20" s="30"/>
      <c r="P20" s="30"/>
      <c r="Q20" s="30"/>
      <c r="R20" s="30"/>
      <c r="S20" s="30"/>
      <c r="T20" s="30"/>
      <c r="U20" s="30"/>
      <c r="V20" s="30"/>
      <c r="W20" s="30"/>
      <c r="X20" s="30"/>
      <c r="Y20" s="30"/>
      <c r="Z20" s="30"/>
      <c r="AA20" s="30"/>
      <c r="AB20" s="30"/>
      <c r="AC20" s="30"/>
      <c r="AD20" s="30"/>
      <c r="AE20" s="30"/>
      <c r="AF20" s="30"/>
      <c r="AG20" s="30"/>
      <c r="AH20" s="30"/>
      <c r="AI20" s="30"/>
      <c r="AJ20" s="30"/>
      <c r="AK20" s="30"/>
      <c r="AL20" s="30"/>
      <c r="AM20" s="30"/>
      <c r="AN20" s="30"/>
      <c r="AO20" s="30"/>
      <c r="AP20" s="30"/>
      <c r="AQ20" s="30"/>
      <c r="AR20" s="30"/>
      <c r="AS20" s="30"/>
      <c r="AT20" s="30"/>
      <c r="AU20" s="30"/>
      <c r="AV20" s="30"/>
      <c r="AW20" s="30"/>
      <c r="AX20" s="30"/>
      <c r="AY20" s="30"/>
      <c r="AZ20" s="30"/>
      <c r="BA20" s="30"/>
      <c r="BB20" s="30"/>
      <c r="BC20" s="30"/>
      <c r="BD20" s="30"/>
      <c r="BE20" s="30"/>
      <c r="BF20" s="30"/>
      <c r="BG20" s="30"/>
      <c r="BH20" s="30"/>
      <c r="BI20" s="30"/>
      <c r="BJ20" s="30"/>
      <c r="BK20" s="30"/>
      <c r="BL20" s="30"/>
    </row>
    <row r="21" spans="1:64" s="3" customFormat="1" ht="30" customHeight="1" thickBot="1" x14ac:dyDescent="0.3">
      <c r="A21" s="42"/>
      <c r="B21" s="89" t="s">
        <v>62</v>
      </c>
      <c r="C21" s="90" t="s">
        <v>50</v>
      </c>
      <c r="D21" s="20">
        <v>0</v>
      </c>
      <c r="E21" s="65">
        <f>F20</f>
        <v>44650</v>
      </c>
      <c r="F21" s="65">
        <f>E21+2</f>
        <v>44652</v>
      </c>
      <c r="G21" s="14"/>
      <c r="H21" s="14"/>
      <c r="I21" s="30"/>
      <c r="J21" s="30"/>
      <c r="K21" s="30"/>
      <c r="L21" s="30"/>
      <c r="M21" s="30"/>
      <c r="N21" s="30"/>
      <c r="O21" s="30"/>
      <c r="P21" s="30"/>
      <c r="Q21" s="30"/>
      <c r="R21" s="30"/>
      <c r="S21" s="30"/>
      <c r="T21" s="30"/>
      <c r="U21" s="30"/>
      <c r="V21" s="30"/>
      <c r="W21" s="30"/>
      <c r="X21" s="30"/>
      <c r="Y21" s="30"/>
      <c r="Z21" s="30"/>
      <c r="AA21" s="30"/>
      <c r="AB21" s="30"/>
      <c r="AC21" s="30"/>
      <c r="AD21" s="30"/>
      <c r="AE21" s="30"/>
      <c r="AF21" s="30"/>
      <c r="AG21" s="30"/>
      <c r="AH21" s="30"/>
      <c r="AI21" s="30"/>
      <c r="AJ21" s="30"/>
      <c r="AK21" s="30"/>
      <c r="AL21" s="30"/>
      <c r="AM21" s="30"/>
      <c r="AN21" s="30"/>
      <c r="AO21" s="30"/>
      <c r="AP21" s="30"/>
      <c r="AQ21" s="30"/>
      <c r="AR21" s="30"/>
      <c r="AS21" s="30"/>
      <c r="AT21" s="30"/>
      <c r="AU21" s="30"/>
      <c r="AV21" s="30"/>
      <c r="AW21" s="30"/>
      <c r="AX21" s="30"/>
      <c r="AY21" s="30"/>
      <c r="AZ21" s="30"/>
      <c r="BA21" s="30"/>
      <c r="BB21" s="30"/>
      <c r="BC21" s="30"/>
      <c r="BD21" s="30"/>
      <c r="BE21" s="30"/>
      <c r="BF21" s="30"/>
      <c r="BG21" s="30"/>
      <c r="BH21" s="30"/>
      <c r="BI21" s="30"/>
      <c r="BJ21" s="30"/>
      <c r="BK21" s="30"/>
      <c r="BL21" s="30"/>
    </row>
    <row r="22" spans="1:64" s="3" customFormat="1" ht="30" customHeight="1" thickBot="1" x14ac:dyDescent="0.3">
      <c r="A22" s="42"/>
      <c r="B22" s="89" t="s">
        <v>63</v>
      </c>
      <c r="C22" s="90" t="s">
        <v>50</v>
      </c>
      <c r="D22" s="20">
        <v>0</v>
      </c>
      <c r="E22" s="65">
        <f>F21</f>
        <v>44652</v>
      </c>
      <c r="F22" s="65">
        <f>E22+7</f>
        <v>44659</v>
      </c>
      <c r="G22" s="14"/>
      <c r="H22" s="14"/>
      <c r="I22" s="30"/>
      <c r="J22" s="30"/>
      <c r="K22" s="30"/>
      <c r="L22" s="30"/>
      <c r="M22" s="30"/>
      <c r="N22" s="30"/>
      <c r="O22" s="30"/>
      <c r="P22" s="30"/>
      <c r="Q22" s="30"/>
      <c r="R22" s="30"/>
      <c r="S22" s="30"/>
      <c r="T22" s="30"/>
      <c r="U22" s="30"/>
      <c r="V22" s="30"/>
      <c r="W22" s="30"/>
      <c r="X22" s="30"/>
      <c r="Y22" s="30"/>
      <c r="Z22" s="30"/>
      <c r="AA22" s="30"/>
      <c r="AB22" s="30"/>
      <c r="AC22" s="30"/>
      <c r="AD22" s="30"/>
      <c r="AE22" s="30"/>
      <c r="AF22" s="30"/>
      <c r="AG22" s="30"/>
      <c r="AH22" s="30"/>
      <c r="AI22" s="30"/>
      <c r="AJ22" s="30"/>
      <c r="AK22" s="30"/>
      <c r="AL22" s="30"/>
      <c r="AM22" s="30"/>
      <c r="AN22" s="30"/>
      <c r="AO22" s="30"/>
      <c r="AP22" s="30"/>
      <c r="AQ22" s="30"/>
      <c r="AR22" s="30"/>
      <c r="AS22" s="30"/>
      <c r="AT22" s="30"/>
      <c r="AU22" s="30"/>
      <c r="AV22" s="30"/>
      <c r="AW22" s="30"/>
      <c r="AX22" s="30"/>
      <c r="AY22" s="30"/>
      <c r="AZ22" s="30"/>
      <c r="BA22" s="30"/>
      <c r="BB22" s="30"/>
      <c r="BC22" s="30"/>
      <c r="BD22" s="30"/>
      <c r="BE22" s="30"/>
      <c r="BF22" s="30"/>
      <c r="BG22" s="30"/>
      <c r="BH22" s="30"/>
      <c r="BI22" s="30"/>
      <c r="BJ22" s="30"/>
      <c r="BK22" s="30"/>
      <c r="BL22" s="30"/>
    </row>
    <row r="23" spans="1:64" s="3" customFormat="1" ht="30" customHeight="1" thickBot="1" x14ac:dyDescent="0.3">
      <c r="A23" s="42" t="s">
        <v>11</v>
      </c>
      <c r="B23" s="21" t="s">
        <v>64</v>
      </c>
      <c r="C23" s="51"/>
      <c r="D23" s="22"/>
      <c r="E23" s="72"/>
      <c r="F23" s="73"/>
      <c r="G23" s="14"/>
      <c r="H23" s="14" t="str">
        <f t="shared" si="6"/>
        <v/>
      </c>
      <c r="I23" s="30"/>
      <c r="J23" s="30"/>
      <c r="K23" s="30"/>
      <c r="L23" s="30"/>
      <c r="M23" s="30"/>
      <c r="N23" s="30"/>
      <c r="O23" s="30"/>
      <c r="P23" s="30"/>
      <c r="Q23" s="30"/>
      <c r="R23" s="30"/>
      <c r="S23" s="30"/>
      <c r="T23" s="30"/>
      <c r="U23" s="30"/>
      <c r="V23" s="30"/>
      <c r="W23" s="30"/>
      <c r="X23" s="30"/>
      <c r="Y23" s="30"/>
      <c r="Z23" s="30"/>
      <c r="AA23" s="30"/>
      <c r="AB23" s="30"/>
      <c r="AC23" s="30"/>
      <c r="AD23" s="30"/>
      <c r="AE23" s="30"/>
      <c r="AF23" s="30"/>
      <c r="AG23" s="30"/>
      <c r="AH23" s="30"/>
      <c r="AI23" s="30"/>
      <c r="AJ23" s="30"/>
      <c r="AK23" s="30"/>
      <c r="AL23" s="30"/>
      <c r="AM23" s="30"/>
      <c r="AN23" s="30"/>
      <c r="AO23" s="30"/>
      <c r="AP23" s="30"/>
      <c r="AQ23" s="30"/>
      <c r="AR23" s="30"/>
      <c r="AS23" s="30"/>
      <c r="AT23" s="30"/>
      <c r="AU23" s="30"/>
      <c r="AV23" s="30"/>
      <c r="AW23" s="30"/>
      <c r="AX23" s="30"/>
      <c r="AY23" s="30"/>
      <c r="AZ23" s="30"/>
      <c r="BA23" s="30"/>
      <c r="BB23" s="30"/>
      <c r="BC23" s="30"/>
      <c r="BD23" s="30"/>
      <c r="BE23" s="30"/>
      <c r="BF23" s="30"/>
      <c r="BG23" s="30"/>
      <c r="BH23" s="30"/>
      <c r="BI23" s="30"/>
      <c r="BJ23" s="30"/>
      <c r="BK23" s="30"/>
      <c r="BL23" s="30"/>
    </row>
    <row r="24" spans="1:64" s="3" customFormat="1" ht="30" customHeight="1" thickBot="1" x14ac:dyDescent="0.3">
      <c r="A24" s="42"/>
      <c r="B24" s="91" t="s">
        <v>65</v>
      </c>
      <c r="C24" s="92" t="s">
        <v>66</v>
      </c>
      <c r="D24" s="23">
        <v>0</v>
      </c>
      <c r="E24" s="66">
        <f>F22</f>
        <v>44659</v>
      </c>
      <c r="F24" s="66">
        <f>E24+2</f>
        <v>44661</v>
      </c>
      <c r="G24" s="14"/>
      <c r="H24" s="14">
        <f t="shared" si="6"/>
        <v>70</v>
      </c>
      <c r="I24" s="30"/>
      <c r="J24" s="30"/>
      <c r="K24" s="30"/>
      <c r="L24" s="30"/>
      <c r="M24" s="30"/>
      <c r="N24" s="30"/>
      <c r="O24" s="30"/>
      <c r="P24" s="30"/>
      <c r="Q24" s="30"/>
      <c r="R24" s="30"/>
      <c r="S24" s="30"/>
      <c r="T24" s="30"/>
      <c r="U24" s="30"/>
      <c r="V24" s="30"/>
      <c r="W24" s="30"/>
      <c r="X24" s="30"/>
      <c r="Y24" s="30"/>
      <c r="Z24" s="30"/>
      <c r="AA24" s="30"/>
      <c r="AB24" s="30"/>
      <c r="AC24" s="30"/>
      <c r="AD24" s="30"/>
      <c r="AE24" s="30"/>
      <c r="AF24" s="30"/>
      <c r="AG24" s="30"/>
      <c r="AH24" s="30"/>
      <c r="AI24" s="30"/>
      <c r="AJ24" s="30"/>
      <c r="AK24" s="30"/>
      <c r="AL24" s="30"/>
      <c r="AM24" s="30"/>
      <c r="AN24" s="30"/>
      <c r="AO24" s="30"/>
      <c r="AP24" s="30"/>
      <c r="AQ24" s="30"/>
      <c r="AR24" s="30"/>
      <c r="AS24" s="30"/>
      <c r="AT24" s="30"/>
      <c r="AU24" s="30"/>
      <c r="AV24" s="30"/>
      <c r="AW24" s="30"/>
      <c r="AX24" s="30"/>
      <c r="AY24" s="30"/>
      <c r="AZ24" s="30"/>
      <c r="BA24" s="30"/>
      <c r="BB24" s="30"/>
      <c r="BC24" s="30"/>
      <c r="BD24" s="30"/>
      <c r="BE24" s="30"/>
      <c r="BF24" s="30"/>
      <c r="BG24" s="30"/>
      <c r="BH24" s="30"/>
      <c r="BI24" s="30"/>
      <c r="BJ24" s="30"/>
      <c r="BK24" s="30"/>
      <c r="BL24" s="30"/>
    </row>
    <row r="25" spans="1:64" s="3" customFormat="1" ht="30" customHeight="1" thickBot="1" x14ac:dyDescent="0.3">
      <c r="A25" s="42"/>
      <c r="B25" s="91" t="s">
        <v>67</v>
      </c>
      <c r="C25" s="92" t="s">
        <v>68</v>
      </c>
      <c r="D25" s="23">
        <v>0</v>
      </c>
      <c r="E25" s="66">
        <f>F24</f>
        <v>44661</v>
      </c>
      <c r="F25" s="66">
        <f>E25+7</f>
        <v>44668</v>
      </c>
      <c r="G25" s="14"/>
      <c r="H25" s="14">
        <f t="shared" si="6"/>
        <v>77</v>
      </c>
      <c r="I25" s="30"/>
      <c r="J25" s="30"/>
      <c r="K25" s="30"/>
      <c r="L25" s="30"/>
      <c r="M25" s="30"/>
      <c r="N25" s="30"/>
      <c r="O25" s="30"/>
      <c r="P25" s="30"/>
      <c r="Q25" s="30"/>
      <c r="R25" s="30"/>
      <c r="S25" s="30"/>
      <c r="T25" s="30"/>
      <c r="U25" s="30"/>
      <c r="V25" s="30"/>
      <c r="W25" s="30"/>
      <c r="X25" s="30"/>
      <c r="Y25" s="30"/>
      <c r="Z25" s="30"/>
      <c r="AA25" s="30"/>
      <c r="AB25" s="30"/>
      <c r="AC25" s="30"/>
      <c r="AD25" s="30"/>
      <c r="AE25" s="30"/>
      <c r="AF25" s="30"/>
      <c r="AG25" s="30"/>
      <c r="AH25" s="30"/>
      <c r="AI25" s="30"/>
      <c r="AJ25" s="30"/>
      <c r="AK25" s="30"/>
      <c r="AL25" s="30"/>
      <c r="AM25" s="30"/>
      <c r="AN25" s="30"/>
      <c r="AO25" s="30"/>
      <c r="AP25" s="30"/>
      <c r="AQ25" s="30"/>
      <c r="AR25" s="30"/>
      <c r="AS25" s="30"/>
      <c r="AT25" s="30"/>
      <c r="AU25" s="30"/>
      <c r="AV25" s="30"/>
      <c r="AW25" s="30"/>
      <c r="AX25" s="30"/>
      <c r="AY25" s="30"/>
      <c r="AZ25" s="30"/>
      <c r="BA25" s="30"/>
      <c r="BB25" s="30"/>
      <c r="BC25" s="30"/>
      <c r="BD25" s="30"/>
      <c r="BE25" s="30"/>
      <c r="BF25" s="30"/>
      <c r="BG25" s="30"/>
      <c r="BH25" s="30"/>
      <c r="BI25" s="30"/>
      <c r="BJ25" s="30"/>
      <c r="BK25" s="30"/>
      <c r="BL25" s="30"/>
    </row>
    <row r="26" spans="1:64" s="3" customFormat="1" ht="30" customHeight="1" thickBot="1" x14ac:dyDescent="0.3">
      <c r="A26" s="42"/>
      <c r="B26" s="91" t="s">
        <v>69</v>
      </c>
      <c r="C26" s="92" t="s">
        <v>50</v>
      </c>
      <c r="D26" s="23">
        <v>0</v>
      </c>
      <c r="E26" s="66">
        <f>F25</f>
        <v>44668</v>
      </c>
      <c r="F26" s="66">
        <f>E26+2</f>
        <v>44670</v>
      </c>
      <c r="G26" s="14"/>
      <c r="H26" s="14">
        <f t="shared" si="6"/>
        <v>79</v>
      </c>
      <c r="I26" s="30"/>
      <c r="J26" s="30"/>
      <c r="K26" s="30"/>
      <c r="L26" s="30"/>
      <c r="M26" s="30"/>
      <c r="N26" s="30"/>
      <c r="O26" s="30"/>
      <c r="P26" s="30"/>
      <c r="Q26" s="30"/>
      <c r="R26" s="30"/>
      <c r="S26" s="30"/>
      <c r="T26" s="30"/>
      <c r="U26" s="30"/>
      <c r="V26" s="30"/>
      <c r="W26" s="30"/>
      <c r="X26" s="30"/>
      <c r="Y26" s="30"/>
      <c r="Z26" s="30"/>
      <c r="AA26" s="30"/>
      <c r="AB26" s="30"/>
      <c r="AC26" s="30"/>
      <c r="AD26" s="30"/>
      <c r="AE26" s="30"/>
      <c r="AF26" s="30"/>
      <c r="AG26" s="30"/>
      <c r="AH26" s="30"/>
      <c r="AI26" s="30"/>
      <c r="AJ26" s="30"/>
      <c r="AK26" s="30"/>
      <c r="AL26" s="30"/>
      <c r="AM26" s="30"/>
      <c r="AN26" s="30"/>
      <c r="AO26" s="30"/>
      <c r="AP26" s="30"/>
      <c r="AQ26" s="30"/>
      <c r="AR26" s="30"/>
      <c r="AS26" s="30"/>
      <c r="AT26" s="30"/>
      <c r="AU26" s="30"/>
      <c r="AV26" s="30"/>
      <c r="AW26" s="30"/>
      <c r="AX26" s="30"/>
      <c r="AY26" s="30"/>
      <c r="AZ26" s="30"/>
      <c r="BA26" s="30"/>
      <c r="BB26" s="30"/>
      <c r="BC26" s="30"/>
      <c r="BD26" s="30"/>
      <c r="BE26" s="30"/>
      <c r="BF26" s="30"/>
      <c r="BG26" s="30"/>
      <c r="BH26" s="30"/>
      <c r="BI26" s="30"/>
      <c r="BJ26" s="30"/>
      <c r="BK26" s="30"/>
      <c r="BL26" s="30"/>
    </row>
    <row r="27" spans="1:64" s="3" customFormat="1" ht="30" customHeight="1" thickBot="1" x14ac:dyDescent="0.3">
      <c r="A27" s="42"/>
      <c r="B27" s="91" t="s">
        <v>70</v>
      </c>
      <c r="C27" s="92" t="s">
        <v>66</v>
      </c>
      <c r="D27" s="23">
        <v>0</v>
      </c>
      <c r="E27" s="66">
        <f>F26</f>
        <v>44670</v>
      </c>
      <c r="F27" s="66">
        <f>E27+2</f>
        <v>44672</v>
      </c>
      <c r="G27" s="14"/>
      <c r="H27" s="14">
        <f t="shared" si="6"/>
        <v>81</v>
      </c>
      <c r="I27" s="30"/>
      <c r="J27" s="30"/>
      <c r="K27" s="30"/>
      <c r="L27" s="30"/>
      <c r="M27" s="30"/>
      <c r="N27" s="30"/>
      <c r="O27" s="30"/>
      <c r="P27" s="30"/>
      <c r="Q27" s="30"/>
      <c r="R27" s="30"/>
      <c r="S27" s="30"/>
      <c r="T27" s="30"/>
      <c r="U27" s="30"/>
      <c r="V27" s="30"/>
      <c r="W27" s="30"/>
      <c r="X27" s="30"/>
      <c r="Y27" s="30"/>
      <c r="Z27" s="30"/>
      <c r="AA27" s="30"/>
      <c r="AB27" s="30"/>
      <c r="AC27" s="30"/>
      <c r="AD27" s="30"/>
      <c r="AE27" s="30"/>
      <c r="AF27" s="30"/>
      <c r="AG27" s="30"/>
      <c r="AH27" s="30"/>
      <c r="AI27" s="30"/>
      <c r="AJ27" s="30"/>
      <c r="AK27" s="30"/>
      <c r="AL27" s="30"/>
      <c r="AM27" s="30"/>
      <c r="AN27" s="30"/>
      <c r="AO27" s="30"/>
      <c r="AP27" s="30"/>
      <c r="AQ27" s="30"/>
      <c r="AR27" s="30"/>
      <c r="AS27" s="30"/>
      <c r="AT27" s="30"/>
      <c r="AU27" s="30"/>
      <c r="AV27" s="30"/>
      <c r="AW27" s="30"/>
      <c r="AX27" s="30"/>
      <c r="AY27" s="30"/>
      <c r="AZ27" s="30"/>
      <c r="BA27" s="30"/>
      <c r="BB27" s="30"/>
      <c r="BC27" s="30"/>
      <c r="BD27" s="30"/>
      <c r="BE27" s="30"/>
      <c r="BF27" s="30"/>
      <c r="BG27" s="30"/>
      <c r="BH27" s="30"/>
      <c r="BI27" s="30"/>
      <c r="BJ27" s="30"/>
      <c r="BK27" s="30"/>
      <c r="BL27" s="30"/>
    </row>
    <row r="28" spans="1:64" s="3" customFormat="1" ht="30" hidden="1" customHeight="1" thickBot="1" x14ac:dyDescent="0.3">
      <c r="A28" s="42"/>
      <c r="B28" s="56" t="s">
        <v>18</v>
      </c>
      <c r="C28" s="52"/>
      <c r="D28" s="23"/>
      <c r="E28" s="66">
        <f>E26</f>
        <v>44668</v>
      </c>
      <c r="F28" s="66">
        <f>E28+4</f>
        <v>44672</v>
      </c>
      <c r="G28" s="14"/>
      <c r="H28" s="14">
        <f t="shared" si="6"/>
        <v>81</v>
      </c>
      <c r="I28" s="30"/>
      <c r="J28" s="30"/>
      <c r="K28" s="30"/>
      <c r="L28" s="30"/>
      <c r="M28" s="30"/>
      <c r="N28" s="30"/>
      <c r="O28" s="30"/>
      <c r="P28" s="30"/>
      <c r="Q28" s="30"/>
      <c r="R28" s="30"/>
      <c r="S28" s="30"/>
      <c r="T28" s="30"/>
      <c r="U28" s="30"/>
      <c r="V28" s="30"/>
      <c r="W28" s="30"/>
      <c r="X28" s="30"/>
      <c r="Y28" s="30"/>
      <c r="Z28" s="30"/>
      <c r="AA28" s="30"/>
      <c r="AB28" s="30"/>
      <c r="AC28" s="30"/>
      <c r="AD28" s="30"/>
      <c r="AE28" s="30"/>
      <c r="AF28" s="30"/>
      <c r="AG28" s="30"/>
      <c r="AH28" s="30"/>
      <c r="AI28" s="30"/>
      <c r="AJ28" s="30"/>
      <c r="AK28" s="30"/>
      <c r="AL28" s="30"/>
      <c r="AM28" s="30"/>
      <c r="AN28" s="30"/>
      <c r="AO28" s="30"/>
      <c r="AP28" s="30"/>
      <c r="AQ28" s="30"/>
      <c r="AR28" s="30"/>
      <c r="AS28" s="30"/>
      <c r="AT28" s="30"/>
      <c r="AU28" s="30"/>
      <c r="AV28" s="30"/>
      <c r="AW28" s="30"/>
      <c r="AX28" s="30"/>
      <c r="AY28" s="30"/>
      <c r="AZ28" s="30"/>
      <c r="BA28" s="30"/>
      <c r="BB28" s="30"/>
      <c r="BC28" s="30"/>
      <c r="BD28" s="30"/>
      <c r="BE28" s="30"/>
      <c r="BF28" s="30"/>
      <c r="BG28" s="30"/>
      <c r="BH28" s="30"/>
      <c r="BI28" s="30"/>
      <c r="BJ28" s="30"/>
      <c r="BK28" s="30"/>
      <c r="BL28" s="30"/>
    </row>
    <row r="29" spans="1:64" s="3" customFormat="1" ht="30" hidden="1" customHeight="1" thickBot="1" x14ac:dyDescent="0.3">
      <c r="A29" s="42" t="s">
        <v>11</v>
      </c>
      <c r="B29" s="24" t="s">
        <v>19</v>
      </c>
      <c r="C29" s="53"/>
      <c r="D29" s="25"/>
      <c r="E29" s="74"/>
      <c r="F29" s="75"/>
      <c r="G29" s="14"/>
      <c r="H29" s="14" t="str">
        <f t="shared" si="6"/>
        <v/>
      </c>
      <c r="I29" s="30"/>
      <c r="J29" s="30"/>
      <c r="K29" s="30"/>
      <c r="L29" s="30"/>
      <c r="M29" s="30"/>
      <c r="N29" s="30"/>
      <c r="O29" s="30"/>
      <c r="P29" s="30"/>
      <c r="Q29" s="30"/>
      <c r="R29" s="30"/>
      <c r="S29" s="30"/>
      <c r="T29" s="30"/>
      <c r="U29" s="30"/>
      <c r="V29" s="30"/>
      <c r="W29" s="30"/>
      <c r="X29" s="30"/>
      <c r="Y29" s="30"/>
      <c r="Z29" s="30"/>
      <c r="AA29" s="30"/>
      <c r="AB29" s="30"/>
      <c r="AC29" s="30"/>
      <c r="AD29" s="30"/>
      <c r="AE29" s="30"/>
      <c r="AF29" s="30"/>
      <c r="AG29" s="30"/>
      <c r="AH29" s="30"/>
      <c r="AI29" s="30"/>
      <c r="AJ29" s="30"/>
      <c r="AK29" s="30"/>
      <c r="AL29" s="30"/>
      <c r="AM29" s="30"/>
      <c r="AN29" s="30"/>
      <c r="AO29" s="30"/>
      <c r="AP29" s="30"/>
      <c r="AQ29" s="30"/>
      <c r="AR29" s="30"/>
      <c r="AS29" s="30"/>
      <c r="AT29" s="30"/>
      <c r="AU29" s="30"/>
      <c r="AV29" s="30"/>
      <c r="AW29" s="30"/>
      <c r="AX29" s="30"/>
      <c r="AY29" s="30"/>
      <c r="AZ29" s="30"/>
      <c r="BA29" s="30"/>
      <c r="BB29" s="30"/>
      <c r="BC29" s="30"/>
      <c r="BD29" s="30"/>
      <c r="BE29" s="30"/>
      <c r="BF29" s="30"/>
      <c r="BG29" s="30"/>
      <c r="BH29" s="30"/>
      <c r="BI29" s="30"/>
      <c r="BJ29" s="30"/>
      <c r="BK29" s="30"/>
      <c r="BL29" s="30"/>
    </row>
    <row r="30" spans="1:64" s="3" customFormat="1" ht="30" hidden="1" customHeight="1" thickBot="1" x14ac:dyDescent="0.3">
      <c r="A30" s="42"/>
      <c r="B30" s="57" t="s">
        <v>14</v>
      </c>
      <c r="C30" s="54"/>
      <c r="D30" s="26"/>
      <c r="E30" s="67" t="s">
        <v>26</v>
      </c>
      <c r="F30" s="67" t="s">
        <v>26</v>
      </c>
      <c r="G30" s="14"/>
      <c r="H30" s="14" t="e">
        <f t="shared" si="6"/>
        <v>#VALUE!</v>
      </c>
      <c r="I30" s="30"/>
      <c r="J30" s="30"/>
      <c r="K30" s="30"/>
      <c r="L30" s="30"/>
      <c r="M30" s="30"/>
      <c r="N30" s="30"/>
      <c r="O30" s="30"/>
      <c r="P30" s="30"/>
      <c r="Q30" s="30"/>
      <c r="R30" s="30"/>
      <c r="S30" s="30"/>
      <c r="T30" s="30"/>
      <c r="U30" s="30"/>
      <c r="V30" s="30"/>
      <c r="W30" s="30"/>
      <c r="X30" s="30"/>
      <c r="Y30" s="30"/>
      <c r="Z30" s="30"/>
      <c r="AA30" s="30"/>
      <c r="AB30" s="30"/>
      <c r="AC30" s="30"/>
      <c r="AD30" s="30"/>
      <c r="AE30" s="30"/>
      <c r="AF30" s="30"/>
      <c r="AG30" s="30"/>
      <c r="AH30" s="30"/>
      <c r="AI30" s="30"/>
      <c r="AJ30" s="30"/>
      <c r="AK30" s="30"/>
      <c r="AL30" s="30"/>
      <c r="AM30" s="30"/>
      <c r="AN30" s="30"/>
      <c r="AO30" s="30"/>
      <c r="AP30" s="30"/>
      <c r="AQ30" s="30"/>
      <c r="AR30" s="30"/>
      <c r="AS30" s="30"/>
      <c r="AT30" s="30"/>
      <c r="AU30" s="30"/>
      <c r="AV30" s="30"/>
      <c r="AW30" s="30"/>
      <c r="AX30" s="30"/>
      <c r="AY30" s="30"/>
      <c r="AZ30" s="30"/>
      <c r="BA30" s="30"/>
      <c r="BB30" s="30"/>
      <c r="BC30" s="30"/>
      <c r="BD30" s="30"/>
      <c r="BE30" s="30"/>
      <c r="BF30" s="30"/>
      <c r="BG30" s="30"/>
      <c r="BH30" s="30"/>
      <c r="BI30" s="30"/>
      <c r="BJ30" s="30"/>
      <c r="BK30" s="30"/>
      <c r="BL30" s="30"/>
    </row>
    <row r="31" spans="1:64" s="3" customFormat="1" ht="30" hidden="1" customHeight="1" thickBot="1" x14ac:dyDescent="0.3">
      <c r="A31" s="42"/>
      <c r="B31" s="57" t="s">
        <v>15</v>
      </c>
      <c r="C31" s="54"/>
      <c r="D31" s="26"/>
      <c r="E31" s="67" t="s">
        <v>26</v>
      </c>
      <c r="F31" s="67" t="s">
        <v>26</v>
      </c>
      <c r="G31" s="14"/>
      <c r="H31" s="14" t="e">
        <f t="shared" si="6"/>
        <v>#VALUE!</v>
      </c>
      <c r="I31" s="30"/>
      <c r="J31" s="30"/>
      <c r="K31" s="30"/>
      <c r="L31" s="30"/>
      <c r="M31" s="30"/>
      <c r="N31" s="30"/>
      <c r="O31" s="30"/>
      <c r="P31" s="30"/>
      <c r="Q31" s="30"/>
      <c r="R31" s="30"/>
      <c r="S31" s="30"/>
      <c r="T31" s="30"/>
      <c r="U31" s="30"/>
      <c r="V31" s="30"/>
      <c r="W31" s="30"/>
      <c r="X31" s="30"/>
      <c r="Y31" s="30"/>
      <c r="Z31" s="30"/>
      <c r="AA31" s="30"/>
      <c r="AB31" s="30"/>
      <c r="AC31" s="30"/>
      <c r="AD31" s="30"/>
      <c r="AE31" s="30"/>
      <c r="AF31" s="30"/>
      <c r="AG31" s="30"/>
      <c r="AH31" s="30"/>
      <c r="AI31" s="30"/>
      <c r="AJ31" s="30"/>
      <c r="AK31" s="30"/>
      <c r="AL31" s="30"/>
      <c r="AM31" s="30"/>
      <c r="AN31" s="30"/>
      <c r="AO31" s="30"/>
      <c r="AP31" s="30"/>
      <c r="AQ31" s="30"/>
      <c r="AR31" s="30"/>
      <c r="AS31" s="30"/>
      <c r="AT31" s="30"/>
      <c r="AU31" s="30"/>
      <c r="AV31" s="30"/>
      <c r="AW31" s="30"/>
      <c r="AX31" s="30"/>
      <c r="AY31" s="30"/>
      <c r="AZ31" s="30"/>
      <c r="BA31" s="30"/>
      <c r="BB31" s="30"/>
      <c r="BC31" s="30"/>
      <c r="BD31" s="30"/>
      <c r="BE31" s="30"/>
      <c r="BF31" s="30"/>
      <c r="BG31" s="30"/>
      <c r="BH31" s="30"/>
      <c r="BI31" s="30"/>
      <c r="BJ31" s="30"/>
      <c r="BK31" s="30"/>
      <c r="BL31" s="30"/>
    </row>
    <row r="32" spans="1:64" s="3" customFormat="1" ht="30" hidden="1" customHeight="1" thickBot="1" x14ac:dyDescent="0.3">
      <c r="A32" s="42"/>
      <c r="B32" s="57" t="s">
        <v>16</v>
      </c>
      <c r="C32" s="54"/>
      <c r="D32" s="26"/>
      <c r="E32" s="67" t="s">
        <v>26</v>
      </c>
      <c r="F32" s="67" t="s">
        <v>26</v>
      </c>
      <c r="G32" s="14"/>
      <c r="H32" s="14" t="e">
        <f t="shared" si="6"/>
        <v>#VALUE!</v>
      </c>
      <c r="I32" s="30"/>
      <c r="J32" s="30"/>
      <c r="K32" s="30"/>
      <c r="L32" s="30"/>
      <c r="M32" s="30"/>
      <c r="N32" s="30"/>
      <c r="O32" s="30"/>
      <c r="P32" s="30"/>
      <c r="Q32" s="30"/>
      <c r="R32" s="30"/>
      <c r="S32" s="30"/>
      <c r="T32" s="30"/>
      <c r="U32" s="30"/>
      <c r="V32" s="30"/>
      <c r="W32" s="30"/>
      <c r="X32" s="30"/>
      <c r="Y32" s="30"/>
      <c r="Z32" s="30"/>
      <c r="AA32" s="30"/>
      <c r="AB32" s="30"/>
      <c r="AC32" s="30"/>
      <c r="AD32" s="30"/>
      <c r="AE32" s="30"/>
      <c r="AF32" s="30"/>
      <c r="AG32" s="30"/>
      <c r="AH32" s="30"/>
      <c r="AI32" s="30"/>
      <c r="AJ32" s="30"/>
      <c r="AK32" s="30"/>
      <c r="AL32" s="30"/>
      <c r="AM32" s="30"/>
      <c r="AN32" s="30"/>
      <c r="AO32" s="30"/>
      <c r="AP32" s="30"/>
      <c r="AQ32" s="30"/>
      <c r="AR32" s="30"/>
      <c r="AS32" s="30"/>
      <c r="AT32" s="30"/>
      <c r="AU32" s="30"/>
      <c r="AV32" s="30"/>
      <c r="AW32" s="30"/>
      <c r="AX32" s="30"/>
      <c r="AY32" s="30"/>
      <c r="AZ32" s="30"/>
      <c r="BA32" s="30"/>
      <c r="BB32" s="30"/>
      <c r="BC32" s="30"/>
      <c r="BD32" s="30"/>
      <c r="BE32" s="30"/>
      <c r="BF32" s="30"/>
      <c r="BG32" s="30"/>
      <c r="BH32" s="30"/>
      <c r="BI32" s="30"/>
      <c r="BJ32" s="30"/>
      <c r="BK32" s="30"/>
      <c r="BL32" s="30"/>
    </row>
    <row r="33" spans="1:64" s="3" customFormat="1" ht="30" hidden="1" customHeight="1" thickBot="1" x14ac:dyDescent="0.3">
      <c r="A33" s="42"/>
      <c r="B33" s="57" t="s">
        <v>17</v>
      </c>
      <c r="C33" s="54"/>
      <c r="D33" s="26"/>
      <c r="E33" s="67" t="s">
        <v>26</v>
      </c>
      <c r="F33" s="67" t="s">
        <v>26</v>
      </c>
      <c r="G33" s="14"/>
      <c r="H33" s="14" t="e">
        <f t="shared" si="6"/>
        <v>#VALUE!</v>
      </c>
      <c r="I33" s="30"/>
      <c r="J33" s="30"/>
      <c r="K33" s="30"/>
      <c r="L33" s="30"/>
      <c r="M33" s="30"/>
      <c r="N33" s="30"/>
      <c r="O33" s="30"/>
      <c r="P33" s="30"/>
      <c r="Q33" s="30"/>
      <c r="R33" s="30"/>
      <c r="S33" s="30"/>
      <c r="T33" s="30"/>
      <c r="U33" s="30"/>
      <c r="V33" s="30"/>
      <c r="W33" s="30"/>
      <c r="X33" s="30"/>
      <c r="Y33" s="30"/>
      <c r="Z33" s="30"/>
      <c r="AA33" s="30"/>
      <c r="AB33" s="30"/>
      <c r="AC33" s="30"/>
      <c r="AD33" s="30"/>
      <c r="AE33" s="30"/>
      <c r="AF33" s="30"/>
      <c r="AG33" s="30"/>
      <c r="AH33" s="30"/>
      <c r="AI33" s="30"/>
      <c r="AJ33" s="30"/>
      <c r="AK33" s="30"/>
      <c r="AL33" s="30"/>
      <c r="AM33" s="30"/>
      <c r="AN33" s="30"/>
      <c r="AO33" s="30"/>
      <c r="AP33" s="30"/>
      <c r="AQ33" s="30"/>
      <c r="AR33" s="30"/>
      <c r="AS33" s="30"/>
      <c r="AT33" s="30"/>
      <c r="AU33" s="30"/>
      <c r="AV33" s="30"/>
      <c r="AW33" s="30"/>
      <c r="AX33" s="30"/>
      <c r="AY33" s="30"/>
      <c r="AZ33" s="30"/>
      <c r="BA33" s="30"/>
      <c r="BB33" s="30"/>
      <c r="BC33" s="30"/>
      <c r="BD33" s="30"/>
      <c r="BE33" s="30"/>
      <c r="BF33" s="30"/>
      <c r="BG33" s="30"/>
      <c r="BH33" s="30"/>
      <c r="BI33" s="30"/>
      <c r="BJ33" s="30"/>
      <c r="BK33" s="30"/>
      <c r="BL33" s="30"/>
    </row>
    <row r="34" spans="1:64" s="3" customFormat="1" ht="30" hidden="1" customHeight="1" thickBot="1" x14ac:dyDescent="0.3">
      <c r="A34" s="42"/>
      <c r="B34" s="57" t="s">
        <v>18</v>
      </c>
      <c r="C34" s="54"/>
      <c r="D34" s="26"/>
      <c r="E34" s="67" t="s">
        <v>26</v>
      </c>
      <c r="F34" s="67" t="s">
        <v>26</v>
      </c>
      <c r="G34" s="14"/>
      <c r="H34" s="14" t="e">
        <f t="shared" si="6"/>
        <v>#VALUE!</v>
      </c>
      <c r="I34" s="30"/>
      <c r="J34" s="30"/>
      <c r="K34" s="30"/>
      <c r="L34" s="30"/>
      <c r="M34" s="30"/>
      <c r="N34" s="30"/>
      <c r="O34" s="30"/>
      <c r="P34" s="30"/>
      <c r="Q34" s="30"/>
      <c r="R34" s="30"/>
      <c r="S34" s="30"/>
      <c r="T34" s="30"/>
      <c r="U34" s="30"/>
      <c r="V34" s="30"/>
      <c r="W34" s="30"/>
      <c r="X34" s="30"/>
      <c r="Y34" s="30"/>
      <c r="Z34" s="30"/>
      <c r="AA34" s="30"/>
      <c r="AB34" s="30"/>
      <c r="AC34" s="30"/>
      <c r="AD34" s="30"/>
      <c r="AE34" s="30"/>
      <c r="AF34" s="30"/>
      <c r="AG34" s="30"/>
      <c r="AH34" s="30"/>
      <c r="AI34" s="30"/>
      <c r="AJ34" s="30"/>
      <c r="AK34" s="30"/>
      <c r="AL34" s="30"/>
      <c r="AM34" s="30"/>
      <c r="AN34" s="30"/>
      <c r="AO34" s="30"/>
      <c r="AP34" s="30"/>
      <c r="AQ34" s="30"/>
      <c r="AR34" s="30"/>
      <c r="AS34" s="30"/>
      <c r="AT34" s="30"/>
      <c r="AU34" s="30"/>
      <c r="AV34" s="30"/>
      <c r="AW34" s="30"/>
      <c r="AX34" s="30"/>
      <c r="AY34" s="30"/>
      <c r="AZ34" s="30"/>
      <c r="BA34" s="30"/>
      <c r="BB34" s="30"/>
      <c r="BC34" s="30"/>
      <c r="BD34" s="30"/>
      <c r="BE34" s="30"/>
      <c r="BF34" s="30"/>
      <c r="BG34" s="30"/>
      <c r="BH34" s="30"/>
      <c r="BI34" s="30"/>
      <c r="BJ34" s="30"/>
      <c r="BK34" s="30"/>
      <c r="BL34" s="30"/>
    </row>
    <row r="35" spans="1:64" s="3" customFormat="1" ht="30" customHeight="1" thickBot="1" x14ac:dyDescent="0.3">
      <c r="A35" s="42" t="s">
        <v>12</v>
      </c>
      <c r="B35" s="58"/>
      <c r="C35" s="55"/>
      <c r="D35" s="13"/>
      <c r="E35" s="76"/>
      <c r="F35" s="76"/>
      <c r="G35" s="14"/>
      <c r="H35" s="14" t="str">
        <f t="shared" si="6"/>
        <v/>
      </c>
      <c r="I35" s="30"/>
      <c r="J35" s="30"/>
      <c r="K35" s="30"/>
      <c r="L35" s="30"/>
      <c r="M35" s="30"/>
      <c r="N35" s="30"/>
      <c r="O35" s="30"/>
      <c r="P35" s="30"/>
      <c r="Q35" s="30"/>
      <c r="R35" s="30"/>
      <c r="S35" s="30"/>
      <c r="T35" s="30"/>
      <c r="U35" s="30"/>
      <c r="V35" s="30"/>
      <c r="W35" s="30"/>
      <c r="X35" s="30"/>
      <c r="Y35" s="30"/>
      <c r="Z35" s="30"/>
      <c r="AA35" s="30"/>
      <c r="AB35" s="30"/>
      <c r="AC35" s="30"/>
      <c r="AD35" s="30"/>
      <c r="AE35" s="30"/>
      <c r="AF35" s="30"/>
      <c r="AG35" s="30"/>
      <c r="AH35" s="30"/>
      <c r="AI35" s="30"/>
      <c r="AJ35" s="30"/>
      <c r="AK35" s="30"/>
      <c r="AL35" s="30"/>
      <c r="AM35" s="30"/>
      <c r="AN35" s="30"/>
      <c r="AO35" s="30"/>
      <c r="AP35" s="30"/>
      <c r="AQ35" s="30"/>
      <c r="AR35" s="30"/>
      <c r="AS35" s="30"/>
      <c r="AT35" s="30"/>
      <c r="AU35" s="30"/>
      <c r="AV35" s="30"/>
      <c r="AW35" s="30"/>
      <c r="AX35" s="30"/>
      <c r="AY35" s="30"/>
      <c r="AZ35" s="30"/>
      <c r="BA35" s="30"/>
      <c r="BB35" s="30"/>
      <c r="BC35" s="30"/>
      <c r="BD35" s="30"/>
      <c r="BE35" s="30"/>
      <c r="BF35" s="30"/>
      <c r="BG35" s="30"/>
      <c r="BH35" s="30"/>
      <c r="BI35" s="30"/>
      <c r="BJ35" s="30"/>
      <c r="BK35" s="30"/>
      <c r="BL35" s="30"/>
    </row>
    <row r="36" spans="1:64" s="3" customFormat="1" ht="30" customHeight="1" thickBot="1" x14ac:dyDescent="0.3">
      <c r="A36" s="43" t="s">
        <v>44</v>
      </c>
      <c r="B36" s="27" t="s">
        <v>20</v>
      </c>
      <c r="C36" s="78"/>
      <c r="D36" s="28"/>
      <c r="E36" s="77"/>
      <c r="F36" s="77"/>
      <c r="G36" s="29"/>
      <c r="H36" s="29" t="str">
        <f t="shared" si="6"/>
        <v/>
      </c>
      <c r="I36" s="32"/>
      <c r="J36" s="32"/>
      <c r="K36" s="32"/>
      <c r="L36" s="32"/>
      <c r="M36" s="32"/>
      <c r="N36" s="32"/>
      <c r="O36" s="32"/>
      <c r="P36" s="32"/>
      <c r="Q36" s="32"/>
      <c r="R36" s="32"/>
      <c r="S36" s="32"/>
      <c r="T36" s="32"/>
      <c r="U36" s="32"/>
      <c r="V36" s="32"/>
      <c r="W36" s="32"/>
      <c r="X36" s="32"/>
      <c r="Y36" s="32"/>
      <c r="Z36" s="32"/>
      <c r="AA36" s="32"/>
      <c r="AB36" s="32"/>
      <c r="AC36" s="32"/>
      <c r="AD36" s="32"/>
      <c r="AE36" s="32"/>
      <c r="AF36" s="32"/>
      <c r="AG36" s="32"/>
      <c r="AH36" s="32"/>
      <c r="AI36" s="32"/>
      <c r="AJ36" s="32"/>
      <c r="AK36" s="32"/>
      <c r="AL36" s="32"/>
      <c r="AM36" s="32"/>
      <c r="AN36" s="32"/>
      <c r="AO36" s="32"/>
      <c r="AP36" s="32"/>
      <c r="AQ36" s="32"/>
      <c r="AR36" s="32"/>
      <c r="AS36" s="32"/>
      <c r="AT36" s="32"/>
      <c r="AU36" s="32"/>
      <c r="AV36" s="32"/>
      <c r="AW36" s="32"/>
      <c r="AX36" s="32"/>
      <c r="AY36" s="32"/>
      <c r="AZ36" s="32"/>
      <c r="BA36" s="32"/>
      <c r="BB36" s="32"/>
      <c r="BC36" s="32"/>
      <c r="BD36" s="32"/>
      <c r="BE36" s="32"/>
      <c r="BF36" s="32"/>
      <c r="BG36" s="32"/>
      <c r="BH36" s="32"/>
      <c r="BI36" s="32"/>
      <c r="BJ36" s="32"/>
      <c r="BK36" s="32"/>
      <c r="BL36" s="32"/>
    </row>
    <row r="37" spans="1:64" ht="30" customHeight="1" x14ac:dyDescent="0.25">
      <c r="G37" s="6"/>
    </row>
    <row r="38" spans="1:64" ht="30" customHeight="1" x14ac:dyDescent="0.25">
      <c r="C38" s="11"/>
      <c r="F38" s="44"/>
    </row>
    <row r="39" spans="1:64" ht="30" customHeight="1" x14ac:dyDescent="0.25">
      <c r="C39" s="12"/>
    </row>
  </sheetData>
  <mergeCells count="12">
    <mergeCell ref="C3:D3"/>
    <mergeCell ref="C4:D4"/>
    <mergeCell ref="B5:G5"/>
    <mergeCell ref="AK4:AQ4"/>
    <mergeCell ref="AR4:AX4"/>
    <mergeCell ref="AY4:BE4"/>
    <mergeCell ref="BF4:BL4"/>
    <mergeCell ref="E3:F3"/>
    <mergeCell ref="I4:O4"/>
    <mergeCell ref="P4:V4"/>
    <mergeCell ref="W4:AC4"/>
    <mergeCell ref="AD4:AJ4"/>
  </mergeCells>
  <conditionalFormatting sqref="D7:D36">
    <cfRule type="dataBar" priority="14">
      <dataBar>
        <cfvo type="num" val="0"/>
        <cfvo type="num" val="1"/>
        <color theme="0" tint="-0.249977111117893"/>
      </dataBar>
      <extLst>
        <ext xmlns:x14="http://schemas.microsoft.com/office/spreadsheetml/2009/9/main" uri="{B025F937-C7B1-47D3-B67F-A62EFF666E3E}">
          <x14:id>{B0389232-4C98-4A03-AD0E-39F63BAD1F53}</x14:id>
        </ext>
      </extLst>
    </cfRule>
  </conditionalFormatting>
  <conditionalFormatting sqref="I5:BL36">
    <cfRule type="expression" dxfId="2" priority="33">
      <formula>AND(TODAY()&gt;=I$5,TODAY()&lt;J$5)</formula>
    </cfRule>
  </conditionalFormatting>
  <conditionalFormatting sqref="I7:BL36">
    <cfRule type="expression" dxfId="1" priority="27">
      <formula>AND(início_da_tarefa&lt;=I$5,ROUNDDOWN((término_da_tarefa-início_da_tarefa+1)*progresso_da_tarefa,0)+início_da_tarefa-1&gt;=I$5)</formula>
    </cfRule>
    <cfRule type="expression" dxfId="0" priority="28" stopIfTrue="1">
      <formula>AND(término_da_tarefa&gt;=I$5,início_da_tarefa&lt;J$5)</formula>
    </cfRule>
  </conditionalFormatting>
  <dataValidations count="1">
    <dataValidation type="whole" operator="greaterThanOrEqual" allowBlank="1" showInputMessage="1" promptTitle="Semana de exibição" prompt="Alterar esse número rola a exibição do Gráfico de Gantt." sqref="E4">
      <formula1>1</formula1>
    </dataValidation>
  </dataValidations>
  <hyperlinks>
    <hyperlink ref="I2" r:id="rId1"/>
    <hyperlink ref="I1" r:id="rId2"/>
  </hyperlinks>
  <printOptions horizontalCentered="1"/>
  <pageMargins left="0.35" right="0.35" top="0.35" bottom="0.5" header="0.3" footer="0.3"/>
  <pageSetup paperSize="9" scale="60" fitToHeight="0" orientation="landscape" r:id="rId3"/>
  <headerFooter differentFirst="1" scaleWithDoc="0">
    <oddFooter>Page &amp;P of &amp;N</oddFooter>
  </headerFooter>
  <ignoredErrors>
    <ignoredError sqref="F19" formula="1"/>
  </ignoredErrors>
  <extLst>
    <ext xmlns:x14="http://schemas.microsoft.com/office/spreadsheetml/2009/9/main" uri="{78C0D931-6437-407d-A8EE-F0AAD7539E65}">
      <x14:conditionalFormattings>
        <x14:conditionalFormatting xmlns:xm="http://schemas.microsoft.com/office/excel/2006/main">
          <x14:cfRule type="dataBar" id="{B0389232-4C98-4A03-AD0E-39F63BAD1F53}">
            <x14:dataBar minLength="0" maxLength="100" gradient="0">
              <x14:cfvo type="num">
                <xm:f>0</xm:f>
              </x14:cfvo>
              <x14:cfvo type="num">
                <xm:f>1</xm:f>
              </x14:cfvo>
              <x14:negativeFillColor rgb="FFFF0000"/>
              <x14:axisColor rgb="FF000000"/>
            </x14:dataBar>
          </x14:cfRule>
          <xm:sqref>D7:D36</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B16"/>
  <sheetViews>
    <sheetView showGridLines="0" zoomScaleNormal="100" workbookViewId="0"/>
  </sheetViews>
  <sheetFormatPr defaultColWidth="9.140625" defaultRowHeight="12.75" x14ac:dyDescent="0.2"/>
  <cols>
    <col min="1" max="1" width="87.140625" style="34" customWidth="1"/>
    <col min="2" max="16384" width="9.140625" style="2"/>
  </cols>
  <sheetData>
    <row r="1" spans="1:2" ht="46.5" customHeight="1" x14ac:dyDescent="0.2"/>
    <row r="2" spans="1:2" s="36" customFormat="1" ht="15.75" x14ac:dyDescent="0.25">
      <c r="A2" s="35" t="s">
        <v>29</v>
      </c>
      <c r="B2" s="35"/>
    </row>
    <row r="3" spans="1:2" s="40" customFormat="1" ht="27" customHeight="1" x14ac:dyDescent="0.25">
      <c r="A3" s="41" t="s">
        <v>30</v>
      </c>
      <c r="B3" s="41"/>
    </row>
    <row r="4" spans="1:2" s="37" customFormat="1" ht="26.25" x14ac:dyDescent="0.4">
      <c r="A4" s="38" t="s">
        <v>31</v>
      </c>
    </row>
    <row r="5" spans="1:2" ht="74.099999999999994" customHeight="1" x14ac:dyDescent="0.2">
      <c r="A5" s="39" t="s">
        <v>32</v>
      </c>
    </row>
    <row r="6" spans="1:2" ht="26.25" customHeight="1" x14ac:dyDescent="0.2">
      <c r="A6" s="38" t="s">
        <v>33</v>
      </c>
    </row>
    <row r="7" spans="1:2" s="34" customFormat="1" ht="222.75" customHeight="1" x14ac:dyDescent="0.25">
      <c r="A7" s="59" t="s">
        <v>34</v>
      </c>
    </row>
    <row r="8" spans="1:2" s="37" customFormat="1" ht="26.25" x14ac:dyDescent="0.4">
      <c r="A8" s="38" t="s">
        <v>35</v>
      </c>
    </row>
    <row r="9" spans="1:2" ht="60" x14ac:dyDescent="0.2">
      <c r="A9" s="39" t="s">
        <v>36</v>
      </c>
    </row>
    <row r="10" spans="1:2" s="34" customFormat="1" ht="27.95" customHeight="1" x14ac:dyDescent="0.25">
      <c r="A10" s="60" t="s">
        <v>37</v>
      </c>
    </row>
    <row r="11" spans="1:2" s="37" customFormat="1" ht="26.25" x14ac:dyDescent="0.4">
      <c r="A11" s="38" t="s">
        <v>38</v>
      </c>
    </row>
    <row r="12" spans="1:2" ht="30" x14ac:dyDescent="0.2">
      <c r="A12" s="39" t="s">
        <v>39</v>
      </c>
    </row>
    <row r="13" spans="1:2" s="34" customFormat="1" ht="27.95" customHeight="1" x14ac:dyDescent="0.25">
      <c r="A13" s="60" t="s">
        <v>40</v>
      </c>
    </row>
    <row r="14" spans="1:2" s="37" customFormat="1" ht="26.25" x14ac:dyDescent="0.4">
      <c r="A14" s="38" t="s">
        <v>41</v>
      </c>
    </row>
    <row r="15" spans="1:2" ht="75" customHeight="1" x14ac:dyDescent="0.2">
      <c r="A15" s="39" t="s">
        <v>42</v>
      </c>
    </row>
    <row r="16" spans="1:2" ht="90" x14ac:dyDescent="0.2">
      <c r="A16" s="39" t="s">
        <v>43</v>
      </c>
    </row>
  </sheetData>
  <hyperlinks>
    <hyperlink ref="A13" r:id="rId1"/>
    <hyperlink ref="A10" r:id="rId2"/>
    <hyperlink ref="A3" r:id="rId3"/>
    <hyperlink ref="A2" r:id="rId4"/>
  </hyperlinks>
  <printOptions horizontalCentered="1"/>
  <pageMargins left="0.35" right="0.35" top="0.35" bottom="0.5" header="0.3" footer="0.3"/>
  <pageSetup paperSize="9" fitToHeight="0" orientation="landscape" r:id="rId5"/>
  <headerFooter differentFirst="1" scaleWithDoc="0">
    <oddFooter>Page &amp;P of &amp;N</oddFooter>
  </headerFooter>
  <drawing r:id="rId6"/>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2</vt:i4>
      </vt:variant>
      <vt:variant>
        <vt:lpstr>Intervalos nomeados</vt:lpstr>
      </vt:variant>
      <vt:variant>
        <vt:i4>6</vt:i4>
      </vt:variant>
    </vt:vector>
  </HeadingPairs>
  <TitlesOfParts>
    <vt:vector size="8" baseType="lpstr">
      <vt:lpstr>CronogramaDeProjeto</vt:lpstr>
      <vt:lpstr>Sobre</vt:lpstr>
      <vt:lpstr>CronogramaDeProjeto!início_da_tarefa</vt:lpstr>
      <vt:lpstr>Início_do_projeto</vt:lpstr>
      <vt:lpstr>CronogramaDeProjeto!progresso_da_tarefa</vt:lpstr>
      <vt:lpstr>Semana_de_exibição</vt:lpstr>
      <vt:lpstr>CronogramaDeProjeto!término_da_tarefa</vt:lpstr>
      <vt:lpstr>CronogramaDeProjeto!Titulos_de_impressao</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
  <dc:description/>
  <cp:lastModifiedBy/>
  <dcterms:created xsi:type="dcterms:W3CDTF">2019-03-19T17:17:03Z</dcterms:created>
  <dcterms:modified xsi:type="dcterms:W3CDTF">2022-03-07T14:20:03Z</dcterms:modified>
</cp:coreProperties>
</file>